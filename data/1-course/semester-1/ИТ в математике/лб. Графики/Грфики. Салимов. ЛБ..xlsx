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psm\Desktop\"/>
    </mc:Choice>
  </mc:AlternateContent>
  <xr:revisionPtr revIDLastSave="0" documentId="13_ncr:1_{BDA996E5-DB37-4B55-AEA0-EC067422BB59}" xr6:coauthVersionLast="45" xr6:coauthVersionMax="45" xr10:uidLastSave="{00000000-0000-0000-0000-000000000000}"/>
  <bookViews>
    <workbookView xWindow="-108" yWindow="-108" windowWidth="22140" windowHeight="13176" xr2:uid="{00000000-000D-0000-FFFF-FFFF00000000}"/>
  </bookViews>
  <sheets>
    <sheet name="Задание 1" sheetId="1" r:id="rId1"/>
    <sheet name="Задание 2" sheetId="2" r:id="rId2"/>
    <sheet name="Задание 3 (1)" sheetId="3" r:id="rId3"/>
    <sheet name="Задание 3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B4" i="4"/>
  <c r="C4" i="4"/>
  <c r="D4" i="4"/>
  <c r="E4" i="4"/>
  <c r="F4" i="4"/>
  <c r="G4" i="4"/>
  <c r="H4" i="4"/>
  <c r="I4" i="4"/>
  <c r="J4" i="4"/>
  <c r="K4" i="4"/>
  <c r="L4" i="4"/>
  <c r="B5" i="4"/>
  <c r="C5" i="4"/>
  <c r="D5" i="4"/>
  <c r="E5" i="4"/>
  <c r="F5" i="4"/>
  <c r="G5" i="4"/>
  <c r="H5" i="4"/>
  <c r="I5" i="4"/>
  <c r="J5" i="4"/>
  <c r="K5" i="4"/>
  <c r="L5" i="4"/>
  <c r="B6" i="4"/>
  <c r="C6" i="4"/>
  <c r="D6" i="4"/>
  <c r="E6" i="4"/>
  <c r="F6" i="4"/>
  <c r="G6" i="4"/>
  <c r="H6" i="4"/>
  <c r="I6" i="4"/>
  <c r="J6" i="4"/>
  <c r="K6" i="4"/>
  <c r="L6" i="4"/>
  <c r="B7" i="4"/>
  <c r="C7" i="4"/>
  <c r="D7" i="4"/>
  <c r="E7" i="4"/>
  <c r="F7" i="4"/>
  <c r="G7" i="4"/>
  <c r="H7" i="4"/>
  <c r="I7" i="4"/>
  <c r="J7" i="4"/>
  <c r="K7" i="4"/>
  <c r="L7" i="4"/>
  <c r="B8" i="4"/>
  <c r="C8" i="4"/>
  <c r="D8" i="4"/>
  <c r="E8" i="4"/>
  <c r="F8" i="4"/>
  <c r="G8" i="4"/>
  <c r="H8" i="4"/>
  <c r="I8" i="4"/>
  <c r="J8" i="4"/>
  <c r="K8" i="4"/>
  <c r="L8" i="4"/>
  <c r="B9" i="4"/>
  <c r="C9" i="4"/>
  <c r="D9" i="4"/>
  <c r="E9" i="4"/>
  <c r="F9" i="4"/>
  <c r="G9" i="4"/>
  <c r="H9" i="4"/>
  <c r="I9" i="4"/>
  <c r="J9" i="4"/>
  <c r="K9" i="4"/>
  <c r="L9" i="4"/>
  <c r="C2" i="4"/>
  <c r="D2" i="4"/>
  <c r="E2" i="4"/>
  <c r="F2" i="4"/>
  <c r="G2" i="4"/>
  <c r="H2" i="4"/>
  <c r="I2" i="4"/>
  <c r="J2" i="4"/>
  <c r="K2" i="4"/>
  <c r="L2" i="4"/>
  <c r="B2" i="4"/>
  <c r="C2" i="3"/>
  <c r="D2" i="3"/>
  <c r="E2" i="3"/>
  <c r="F2" i="3"/>
  <c r="G2" i="3"/>
  <c r="H2" i="3"/>
  <c r="I2" i="3"/>
  <c r="J2" i="3"/>
  <c r="K2" i="3"/>
  <c r="L2" i="3"/>
  <c r="C3" i="3"/>
  <c r="D3" i="3"/>
  <c r="E3" i="3"/>
  <c r="F3" i="3"/>
  <c r="G3" i="3"/>
  <c r="H3" i="3"/>
  <c r="I3" i="3"/>
  <c r="J3" i="3"/>
  <c r="K3" i="3"/>
  <c r="L3" i="3"/>
  <c r="C4" i="3"/>
  <c r="D4" i="3"/>
  <c r="E4" i="3"/>
  <c r="F4" i="3"/>
  <c r="G4" i="3"/>
  <c r="H4" i="3"/>
  <c r="I4" i="3"/>
  <c r="J4" i="3"/>
  <c r="K4" i="3"/>
  <c r="L4" i="3"/>
  <c r="C5" i="3"/>
  <c r="D5" i="3"/>
  <c r="E5" i="3"/>
  <c r="F5" i="3"/>
  <c r="G5" i="3"/>
  <c r="H5" i="3"/>
  <c r="I5" i="3"/>
  <c r="J5" i="3"/>
  <c r="K5" i="3"/>
  <c r="L5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B3" i="3"/>
  <c r="B4" i="3"/>
  <c r="B5" i="3"/>
  <c r="B6" i="3"/>
  <c r="B7" i="3"/>
  <c r="B8" i="3"/>
  <c r="B9" i="3"/>
  <c r="B10" i="3"/>
  <c r="B11" i="3"/>
  <c r="B12" i="3"/>
  <c r="B2" i="3"/>
  <c r="C99" i="2"/>
  <c r="D99" i="2"/>
  <c r="E99" i="2"/>
  <c r="F99" i="2"/>
  <c r="G99" i="2"/>
  <c r="H99" i="2"/>
  <c r="B99" i="2"/>
  <c r="C86" i="2"/>
  <c r="D86" i="2"/>
  <c r="E86" i="2"/>
  <c r="F86" i="2"/>
  <c r="G86" i="2"/>
  <c r="H86" i="2"/>
  <c r="B86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B61" i="2"/>
  <c r="C43" i="2"/>
  <c r="D43" i="2"/>
  <c r="E43" i="2"/>
  <c r="F43" i="2"/>
  <c r="G43" i="2"/>
  <c r="H43" i="2"/>
  <c r="I43" i="2"/>
  <c r="J43" i="2"/>
  <c r="K43" i="2"/>
  <c r="B43" i="2"/>
  <c r="C24" i="2"/>
  <c r="D24" i="2"/>
  <c r="E24" i="2"/>
  <c r="F24" i="2"/>
  <c r="G24" i="2"/>
  <c r="H24" i="2"/>
  <c r="I24" i="2"/>
  <c r="B24" i="2"/>
  <c r="F5" i="2"/>
  <c r="C5" i="2"/>
  <c r="D5" i="2"/>
  <c r="E5" i="2"/>
  <c r="G5" i="2"/>
  <c r="H5" i="2"/>
  <c r="B5" i="2"/>
  <c r="H5" i="1"/>
  <c r="C5" i="1"/>
  <c r="D5" i="1"/>
  <c r="E5" i="1"/>
  <c r="F5" i="1"/>
  <c r="G5" i="1"/>
  <c r="B5" i="1"/>
</calcChain>
</file>

<file path=xl/sharedStrings.xml><?xml version="1.0" encoding="utf-8"?>
<sst xmlns="http://schemas.openxmlformats.org/spreadsheetml/2006/main" count="22" uniqueCount="6">
  <si>
    <t>k</t>
  </si>
  <si>
    <t>b</t>
  </si>
  <si>
    <t>x</t>
  </si>
  <si>
    <t>y</t>
  </si>
  <si>
    <t>a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</si>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</sst>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3" borderId="0" xfId="0" applyNumberFormat="1" applyFont="1" applyFill="1"/>
    <xf numFmtId="0" fontId="1" fillId="2" borderId="0" xfId="0" applyFont="1" applyFill="1"/>
    <xf numFmtId="2" fontId="1" fillId="0" borderId="0" xfId="0" applyNumberFormat="1" applyFont="1"/>
    <xf numFmtId="0" fontId="1" fillId="4" borderId="0" xfId="0" applyFont="1" applyFill="1"/>
    <xf numFmtId="2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kx +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8575928586293923E-2"/>
          <c:y val="0.11702427489789258"/>
          <c:w val="0.86734657590433994"/>
          <c:h val="0.807998747375991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1'!$A$5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1'!$B$4:$H$4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1'!$B$5:$H$5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AD-479E-AF03-A77979984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78784"/>
        <c:axId val="2016126336"/>
      </c:scatterChart>
      <c:valAx>
        <c:axId val="194947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x</a:t>
                </a:r>
                <a:endParaRPr lang="ru-RU" sz="20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sq" cmpd="sng" algn="ctr">
            <a:solidFill>
              <a:schemeClr val="tx1"/>
            </a:solidFill>
            <a:round/>
            <a:headEnd type="none"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126336"/>
        <c:crosses val="autoZero"/>
        <c:crossBetween val="midCat"/>
      </c:valAx>
      <c:valAx>
        <c:axId val="2016126336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 sz="2000" b="0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947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>
      <c:oddHeader>&amp;CСалимов Даниил Рамильевич.
22.07.2004. 2 группа, 2 подгруппа</c:oddHeader>
    </c:headerFooter>
    <c:pageMargins b="0.74803149606299213" l="0.70866141732283472" r="0.70866141732283472" t="0.74803149606299213" header="0.31496062992125984" footer="0.3149606299212598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2^x + b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2'!$B$4:$H$4</c:f>
              <c:numCache>
                <c:formatCode>General</c:formatCode>
                <c:ptCount val="7"/>
                <c:pt idx="0">
                  <c:v>-2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'Задание 2'!$B$5:$H$5</c:f>
              <c:numCache>
                <c:formatCode>General</c:formatCode>
                <c:ptCount val="7"/>
                <c:pt idx="0">
                  <c:v>3.25</c:v>
                </c:pt>
                <c:pt idx="1">
                  <c:v>3.5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11</c:v>
                </c:pt>
                <c:pt idx="6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E9-4A36-BA3B-3AC7140FC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856016"/>
        <c:axId val="2016130080"/>
      </c:scatterChart>
      <c:valAx>
        <c:axId val="202485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130080"/>
        <c:crosses val="autoZero"/>
        <c:crossBetween val="midCat"/>
      </c:valAx>
      <c:valAx>
        <c:axId val="2016130080"/>
        <c:scaling>
          <c:orientation val="minMax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856016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sqrt(x)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2'!$B$23:$I$23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</c:numCache>
            </c:numRef>
          </c:xVal>
          <c:yVal>
            <c:numRef>
              <c:f>'Задание 2'!$B$24:$I$24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DE-4D2B-A049-BE774FEC1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5424"/>
        <c:axId val="2016123424"/>
      </c:scatterChart>
      <c:valAx>
        <c:axId val="414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123424"/>
        <c:crosses val="autoZero"/>
        <c:crossBetween val="midCat"/>
      </c:valAx>
      <c:valAx>
        <c:axId val="20161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r>
                  <a:rPr lang="ru-RU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5424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7 - |x|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2'!$B$42:$K$42</c:f>
              <c:numCache>
                <c:formatCode>General</c:formatCode>
                <c:ptCount val="10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</c:numCache>
            </c:numRef>
          </c:xVal>
          <c:yVal>
            <c:numRef>
              <c:f>'Задание 2'!$B$43:$K$43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25-4EC9-8D13-4065C4A72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5216"/>
        <c:axId val="2016138400"/>
      </c:scatterChart>
      <c:valAx>
        <c:axId val="92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 sz="2000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138400"/>
        <c:crosses val="autoZero"/>
        <c:crossBetween val="midCat"/>
      </c:valAx>
      <c:valAx>
        <c:axId val="201613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endParaRPr lang="ru-RU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5216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1/x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8A-4D41-9DD3-BC0A3235276B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A-4D41-9DD3-BC0A3235276B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A-4D41-9DD3-BC0A3235276B}"/>
              </c:ext>
            </c:extLst>
          </c:dPt>
          <c:xVal>
            <c:numRef>
              <c:f>'Задание 2'!$B$60:$O$60</c:f>
              <c:numCache>
                <c:formatCode>0.00</c:formatCode>
                <c:ptCount val="14"/>
                <c:pt idx="0">
                  <c:v>-1.5</c:v>
                </c:pt>
                <c:pt idx="1">
                  <c:v>-1.25</c:v>
                </c:pt>
                <c:pt idx="2">
                  <c:v>-1</c:v>
                </c:pt>
                <c:pt idx="3">
                  <c:v>-0.75</c:v>
                </c:pt>
                <c:pt idx="4">
                  <c:v>-0.5</c:v>
                </c:pt>
                <c:pt idx="5">
                  <c:v>-0.25</c:v>
                </c:pt>
                <c:pt idx="6" formatCode="0.000">
                  <c:v>0.1</c:v>
                </c:pt>
                <c:pt idx="7">
                  <c:v>0.25</c:v>
                </c:pt>
                <c:pt idx="8" formatCode="General">
                  <c:v>0.5</c:v>
                </c:pt>
                <c:pt idx="9">
                  <c:v>0.75</c:v>
                </c:pt>
                <c:pt idx="10" formatCode="General">
                  <c:v>1</c:v>
                </c:pt>
                <c:pt idx="11">
                  <c:v>1.25</c:v>
                </c:pt>
                <c:pt idx="12" formatCode="General">
                  <c:v>1.5</c:v>
                </c:pt>
                <c:pt idx="13">
                  <c:v>1.75</c:v>
                </c:pt>
              </c:numCache>
            </c:numRef>
          </c:xVal>
          <c:yVal>
            <c:numRef>
              <c:f>'Задание 2'!$B$61:$O$61</c:f>
              <c:numCache>
                <c:formatCode>General</c:formatCode>
                <c:ptCount val="14"/>
                <c:pt idx="0">
                  <c:v>-0.66666666666666663</c:v>
                </c:pt>
                <c:pt idx="1">
                  <c:v>-0.8</c:v>
                </c:pt>
                <c:pt idx="2">
                  <c:v>-1</c:v>
                </c:pt>
                <c:pt idx="3">
                  <c:v>-1.3333333333333333</c:v>
                </c:pt>
                <c:pt idx="4">
                  <c:v>-2</c:v>
                </c:pt>
                <c:pt idx="5">
                  <c:v>-4</c:v>
                </c:pt>
                <c:pt idx="6">
                  <c:v>10</c:v>
                </c:pt>
                <c:pt idx="7">
                  <c:v>4</c:v>
                </c:pt>
                <c:pt idx="8">
                  <c:v>2</c:v>
                </c:pt>
                <c:pt idx="9">
                  <c:v>1.3333333333333333</c:v>
                </c:pt>
                <c:pt idx="10">
                  <c:v>1</c:v>
                </c:pt>
                <c:pt idx="11">
                  <c:v>0.8</c:v>
                </c:pt>
                <c:pt idx="12">
                  <c:v>0.66666666666666663</c:v>
                </c:pt>
                <c:pt idx="13">
                  <c:v>0.5714285714285714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0C-471C-8A95-CF7778CF0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300336"/>
        <c:axId val="2016134656"/>
      </c:scatterChart>
      <c:valAx>
        <c:axId val="201830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6134656"/>
        <c:crosses val="autoZero"/>
        <c:crossBetween val="midCat"/>
      </c:valAx>
      <c:valAx>
        <c:axId val="20161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8300336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 = ln(x)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365816833680133E-2"/>
          <c:y val="0.10741463003251017"/>
          <c:w val="0.88264107611548559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2'!$B$85:$H$85</c:f>
              <c:numCache>
                <c:formatCode>General</c:formatCode>
                <c:ptCount val="7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</c:numCache>
            </c:numRef>
          </c:xVal>
          <c:yVal>
            <c:numRef>
              <c:f>'Задание 2'!$B$86:$H$86</c:f>
              <c:numCache>
                <c:formatCode>General</c:formatCode>
                <c:ptCount val="7"/>
                <c:pt idx="0">
                  <c:v>-1.3862943611198906</c:v>
                </c:pt>
                <c:pt idx="1">
                  <c:v>-0.69314718055994529</c:v>
                </c:pt>
                <c:pt idx="2">
                  <c:v>-0.2876820724517809</c:v>
                </c:pt>
                <c:pt idx="3">
                  <c:v>0</c:v>
                </c:pt>
                <c:pt idx="4">
                  <c:v>0.22314355131420976</c:v>
                </c:pt>
                <c:pt idx="5">
                  <c:v>0.40546510810816438</c:v>
                </c:pt>
                <c:pt idx="6">
                  <c:v>0.55961578793542266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AB-487F-8D02-7E8C80D1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4096"/>
        <c:axId val="1949650368"/>
      </c:scatterChart>
      <c:valAx>
        <c:axId val="15564096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</a:p>
              <a:p>
                <a:pPr>
                  <a:defRPr/>
                </a:pPr>
                <a:endParaRPr lang="ru-RU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9650368"/>
        <c:crosses val="autoZero"/>
        <c:crossBetween val="midCat"/>
      </c:valAx>
      <c:valAx>
        <c:axId val="19496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y</a:t>
                </a:r>
                <a:r>
                  <a:rPr lang="ru-RU"/>
                  <a:t> </a:t>
                </a:r>
              </a:p>
            </c:rich>
          </c:tx>
          <c:layout>
            <c:manualLayout>
              <c:xMode val="edge"/>
              <c:yMode val="edge"/>
              <c:x val="0"/>
              <c:y val="0.42967229739179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4096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ln(5)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2048088467842703E-2"/>
          <c:y val="0.18661119601923573"/>
          <c:w val="0.88711687728432775"/>
          <c:h val="0.7129744204047693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2'!$B$98:$H$98</c:f>
              <c:numCache>
                <c:formatCode>General</c:formatCode>
                <c:ptCount val="7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'Задание 2'!$B$99:$H$99</c:f>
              <c:numCache>
                <c:formatCode>General</c:formatCode>
                <c:ptCount val="7"/>
                <c:pt idx="0">
                  <c:v>1.6094379124341003</c:v>
                </c:pt>
                <c:pt idx="1">
                  <c:v>1.6094379124341003</c:v>
                </c:pt>
                <c:pt idx="2">
                  <c:v>1.6094379124341003</c:v>
                </c:pt>
                <c:pt idx="3">
                  <c:v>1.6094379124341003</c:v>
                </c:pt>
                <c:pt idx="4">
                  <c:v>1.6094379124341003</c:v>
                </c:pt>
                <c:pt idx="5">
                  <c:v>1.6094379124341003</c:v>
                </c:pt>
                <c:pt idx="6">
                  <c:v>1.6094379124341003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C7-4A26-B9FC-59133268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007328"/>
        <c:axId val="3401712"/>
      </c:scatterChart>
      <c:valAx>
        <c:axId val="1953007328"/>
        <c:scaling>
          <c:orientation val="minMax"/>
          <c:min val="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x</a:t>
                </a:r>
                <a:endParaRPr lang="ru-RU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1712"/>
        <c:crosses val="autoZero"/>
        <c:crossBetween val="midCat"/>
      </c:valAx>
      <c:valAx>
        <c:axId val="3401712"/>
        <c:scaling>
          <c:orientation val="minMax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</a:t>
                </a:r>
                <a:r>
                  <a:rPr lang="en-US" sz="2000"/>
                  <a:t>y</a:t>
                </a:r>
                <a:endParaRPr lang="ru-RU" sz="2000"/>
              </a:p>
            </c:rich>
          </c:tx>
          <c:layout>
            <c:manualLayout>
              <c:xMode val="edge"/>
              <c:yMode val="edge"/>
              <c:x val="6.5509064752357678E-3"/>
              <c:y val="0.46457086276432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53007328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Гиперболический</a:t>
            </a:r>
            <a:r>
              <a:rPr lang="ru-RU" baseline="0"/>
              <a:t>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 (1)'!$A$2</c:f>
              <c:strCache>
                <c:ptCount val="1"/>
                <c:pt idx="0">
                  <c:v>-5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(1)'!$B$2:$L$2</c:f>
              <c:numCache>
                <c:formatCode>0.00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C-445B-9106-359A9BF7C506}"/>
            </c:ext>
          </c:extLst>
        </c:ser>
        <c:ser>
          <c:idx val="1"/>
          <c:order val="1"/>
          <c:tx>
            <c:strRef>
              <c:f>'Задание 3 (1)'!$A$3</c:f>
              <c:strCache>
                <c:ptCount val="1"/>
                <c:pt idx="0">
                  <c:v>-4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(1)'!$B$3:$L$3</c:f>
              <c:numCache>
                <c:formatCode>0.00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C-445B-9106-359A9BF7C506}"/>
            </c:ext>
          </c:extLst>
        </c:ser>
        <c:ser>
          <c:idx val="2"/>
          <c:order val="2"/>
          <c:tx>
            <c:strRef>
              <c:f>'Задание 3 (1)'!$A$4</c:f>
              <c:strCache>
                <c:ptCount val="1"/>
                <c:pt idx="0">
                  <c:v>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(1)'!$B$4:$L$4</c:f>
              <c:numCache>
                <c:formatCode>0.00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C-445B-9106-359A9BF7C506}"/>
            </c:ext>
          </c:extLst>
        </c:ser>
        <c:ser>
          <c:idx val="3"/>
          <c:order val="3"/>
          <c:tx>
            <c:strRef>
              <c:f>'Задание 3 (1)'!$A$5</c:f>
              <c:strCache>
                <c:ptCount val="1"/>
                <c:pt idx="0">
                  <c:v>-2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(1)'!$B$5:$L$5</c:f>
              <c:numCache>
                <c:formatCode>0.00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5C-445B-9106-359A9BF7C506}"/>
            </c:ext>
          </c:extLst>
        </c:ser>
        <c:ser>
          <c:idx val="4"/>
          <c:order val="4"/>
          <c:tx>
            <c:strRef>
              <c:f>'Задание 3 (1)'!$A$6</c:f>
              <c:strCache>
                <c:ptCount val="1"/>
                <c:pt idx="0">
                  <c:v>-1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(1)'!$B$6:$L$6</c:f>
              <c:numCache>
                <c:formatCode>0.00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5C-445B-9106-359A9BF7C506}"/>
            </c:ext>
          </c:extLst>
        </c:ser>
        <c:ser>
          <c:idx val="5"/>
          <c:order val="5"/>
          <c:tx>
            <c:strRef>
              <c:f>'Задание 3 (1)'!$A$7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(1)'!$B$7:$L$7</c:f>
              <c:numCache>
                <c:formatCode>0.00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5C-445B-9106-359A9BF7C506}"/>
            </c:ext>
          </c:extLst>
        </c:ser>
        <c:ser>
          <c:idx val="6"/>
          <c:order val="6"/>
          <c:tx>
            <c:strRef>
              <c:f>'Задание 3 (1)'!$A$8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(1)'!$B$8:$L$8</c:f>
              <c:numCache>
                <c:formatCode>0.00</c:formatCode>
                <c:ptCount val="11"/>
                <c:pt idx="0">
                  <c:v>55.25</c:v>
                </c:pt>
                <c:pt idx="1">
                  <c:v>35</c:v>
                </c:pt>
                <c:pt idx="2">
                  <c:v>19.25</c:v>
                </c:pt>
                <c:pt idx="3">
                  <c:v>8</c:v>
                </c:pt>
                <c:pt idx="4">
                  <c:v>1.25</c:v>
                </c:pt>
                <c:pt idx="5">
                  <c:v>-1</c:v>
                </c:pt>
                <c:pt idx="6">
                  <c:v>1.25</c:v>
                </c:pt>
                <c:pt idx="7">
                  <c:v>8</c:v>
                </c:pt>
                <c:pt idx="8">
                  <c:v>19.25</c:v>
                </c:pt>
                <c:pt idx="9">
                  <c:v>35</c:v>
                </c:pt>
                <c:pt idx="10">
                  <c:v>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5C-445B-9106-359A9BF7C506}"/>
            </c:ext>
          </c:extLst>
        </c:ser>
        <c:ser>
          <c:idx val="7"/>
          <c:order val="7"/>
          <c:tx>
            <c:strRef>
              <c:f>'Задание 3 (1)'!$A$9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(1)'!$B$9:$L$9</c:f>
              <c:numCache>
                <c:formatCode>0.00</c:formatCode>
                <c:ptCount val="11"/>
                <c:pt idx="0">
                  <c:v>52.25</c:v>
                </c:pt>
                <c:pt idx="1">
                  <c:v>32</c:v>
                </c:pt>
                <c:pt idx="2">
                  <c:v>16.25</c:v>
                </c:pt>
                <c:pt idx="3">
                  <c:v>5</c:v>
                </c:pt>
                <c:pt idx="4">
                  <c:v>-1.75</c:v>
                </c:pt>
                <c:pt idx="5">
                  <c:v>-4</c:v>
                </c:pt>
                <c:pt idx="6">
                  <c:v>-1.75</c:v>
                </c:pt>
                <c:pt idx="7">
                  <c:v>5</c:v>
                </c:pt>
                <c:pt idx="8">
                  <c:v>16.25</c:v>
                </c:pt>
                <c:pt idx="9">
                  <c:v>32</c:v>
                </c:pt>
                <c:pt idx="10">
                  <c:v>52.25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5C-445B-9106-359A9BF7C506}"/>
            </c:ext>
          </c:extLst>
        </c:ser>
        <c:ser>
          <c:idx val="8"/>
          <c:order val="8"/>
          <c:tx>
            <c:strRef>
              <c:f>'Задание 3 (1)'!$A$10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(1)'!$B$10:$L$10</c:f>
              <c:numCache>
                <c:formatCode>0.00</c:formatCode>
                <c:ptCount val="11"/>
                <c:pt idx="0">
                  <c:v>47.25</c:v>
                </c:pt>
                <c:pt idx="1">
                  <c:v>27</c:v>
                </c:pt>
                <c:pt idx="2">
                  <c:v>11.25</c:v>
                </c:pt>
                <c:pt idx="3">
                  <c:v>0</c:v>
                </c:pt>
                <c:pt idx="4">
                  <c:v>-6.75</c:v>
                </c:pt>
                <c:pt idx="5">
                  <c:v>-9</c:v>
                </c:pt>
                <c:pt idx="6">
                  <c:v>-6.75</c:v>
                </c:pt>
                <c:pt idx="7">
                  <c:v>0</c:v>
                </c:pt>
                <c:pt idx="8">
                  <c:v>11.25</c:v>
                </c:pt>
                <c:pt idx="9">
                  <c:v>27</c:v>
                </c:pt>
                <c:pt idx="10">
                  <c:v>47.25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5C-445B-9106-359A9BF7C506}"/>
            </c:ext>
          </c:extLst>
        </c:ser>
        <c:ser>
          <c:idx val="9"/>
          <c:order val="9"/>
          <c:tx>
            <c:strRef>
              <c:f>'Задание 3 (1)'!$A$11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(1)'!$B$11:$L$11</c:f>
              <c:numCache>
                <c:formatCode>0.00</c:formatCode>
                <c:ptCount val="11"/>
                <c:pt idx="0">
                  <c:v>40.25</c:v>
                </c:pt>
                <c:pt idx="1">
                  <c:v>20</c:v>
                </c:pt>
                <c:pt idx="2">
                  <c:v>4.25</c:v>
                </c:pt>
                <c:pt idx="3">
                  <c:v>-7</c:v>
                </c:pt>
                <c:pt idx="4">
                  <c:v>-13.75</c:v>
                </c:pt>
                <c:pt idx="5">
                  <c:v>-16</c:v>
                </c:pt>
                <c:pt idx="6">
                  <c:v>-13.75</c:v>
                </c:pt>
                <c:pt idx="7">
                  <c:v>-7</c:v>
                </c:pt>
                <c:pt idx="8">
                  <c:v>4.25</c:v>
                </c:pt>
                <c:pt idx="9">
                  <c:v>20</c:v>
                </c:pt>
                <c:pt idx="10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55C-445B-9106-359A9BF7C506}"/>
            </c:ext>
          </c:extLst>
        </c:ser>
        <c:ser>
          <c:idx val="10"/>
          <c:order val="10"/>
          <c:tx>
            <c:strRef>
              <c:f>'Задание 3 (1)'!$A$12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'Задание 3 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3 (1)'!$B$12:$L$12</c:f>
              <c:numCache>
                <c:formatCode>0.00</c:formatCode>
                <c:ptCount val="11"/>
                <c:pt idx="0">
                  <c:v>31.25</c:v>
                </c:pt>
                <c:pt idx="1">
                  <c:v>11</c:v>
                </c:pt>
                <c:pt idx="2">
                  <c:v>-4.75</c:v>
                </c:pt>
                <c:pt idx="3">
                  <c:v>-16</c:v>
                </c:pt>
                <c:pt idx="4">
                  <c:v>-22.75</c:v>
                </c:pt>
                <c:pt idx="5">
                  <c:v>-25</c:v>
                </c:pt>
                <c:pt idx="6">
                  <c:v>-22.75</c:v>
                </c:pt>
                <c:pt idx="7">
                  <c:v>-16</c:v>
                </c:pt>
                <c:pt idx="8">
                  <c:v>-4.75</c:v>
                </c:pt>
                <c:pt idx="9">
                  <c:v>11</c:v>
                </c:pt>
                <c:pt idx="10">
                  <c:v>31.25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5C-445B-9106-359A9BF7C506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2024842816"/>
        <c:axId val="3394224"/>
        <c:axId val="104734512"/>
      </c:surface3DChart>
      <c:catAx>
        <c:axId val="202484281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3970" cap="flat" cmpd="sng" algn="ctr">
            <a:solidFill>
              <a:schemeClr val="tx1">
                <a:alpha val="20000"/>
              </a:schemeClr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94224"/>
        <c:crosses val="autoZero"/>
        <c:auto val="1"/>
        <c:lblAlgn val="ctr"/>
        <c:lblOffset val="100"/>
        <c:noMultiLvlLbl val="0"/>
      </c:catAx>
      <c:valAx>
        <c:axId val="33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3970">
            <a:solidFill>
              <a:schemeClr val="tx1"/>
            </a:solidFill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842816"/>
        <c:crosses val="autoZero"/>
        <c:crossBetween val="midCat"/>
      </c:valAx>
      <c:serAx>
        <c:axId val="1047345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13970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942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Гиперолический</a:t>
            </a:r>
            <a:r>
              <a:rPr lang="ru-RU" baseline="0"/>
              <a:t> параболоид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3 (2)'!$A$2</c:f>
              <c:strCache>
                <c:ptCount val="1"/>
                <c:pt idx="0">
                  <c:v>-7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(2)'!$B$2:$L$2</c:f>
              <c:numCache>
                <c:formatCode>General</c:formatCode>
                <c:ptCount val="11"/>
                <c:pt idx="0">
                  <c:v>-1.5899999999999999</c:v>
                </c:pt>
                <c:pt idx="1">
                  <c:v>-3.84</c:v>
                </c:pt>
                <c:pt idx="2">
                  <c:v>-5.59</c:v>
                </c:pt>
                <c:pt idx="3">
                  <c:v>-6.84</c:v>
                </c:pt>
                <c:pt idx="4">
                  <c:v>-7.59</c:v>
                </c:pt>
                <c:pt idx="5">
                  <c:v>-7.84</c:v>
                </c:pt>
                <c:pt idx="6">
                  <c:v>-7.59</c:v>
                </c:pt>
                <c:pt idx="7">
                  <c:v>-6.84</c:v>
                </c:pt>
                <c:pt idx="8">
                  <c:v>-5.59</c:v>
                </c:pt>
                <c:pt idx="9">
                  <c:v>-3.84</c:v>
                </c:pt>
                <c:pt idx="10">
                  <c:v>-1.5899999999999999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E-4E92-86CE-6997F1BE1595}"/>
            </c:ext>
          </c:extLst>
        </c:ser>
        <c:ser>
          <c:idx val="1"/>
          <c:order val="1"/>
          <c:tx>
            <c:strRef>
              <c:f>'Задание 3 (2)'!$A$3</c:f>
              <c:strCache>
                <c:ptCount val="1"/>
                <c:pt idx="0">
                  <c:v>-5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(2)'!$B$3:$L$3</c:f>
              <c:numCache>
                <c:formatCode>General</c:formatCode>
                <c:ptCount val="11"/>
                <c:pt idx="0">
                  <c:v>2.25</c:v>
                </c:pt>
                <c:pt idx="1">
                  <c:v>0</c:v>
                </c:pt>
                <c:pt idx="2">
                  <c:v>-1.75</c:v>
                </c:pt>
                <c:pt idx="3">
                  <c:v>-3</c:v>
                </c:pt>
                <c:pt idx="4">
                  <c:v>-3.75</c:v>
                </c:pt>
                <c:pt idx="5">
                  <c:v>-4</c:v>
                </c:pt>
                <c:pt idx="6">
                  <c:v>-3.75</c:v>
                </c:pt>
                <c:pt idx="7">
                  <c:v>-3</c:v>
                </c:pt>
                <c:pt idx="8">
                  <c:v>-1.75</c:v>
                </c:pt>
                <c:pt idx="9">
                  <c:v>0</c:v>
                </c:pt>
                <c:pt idx="1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E-4E92-86CE-6997F1BE1595}"/>
            </c:ext>
          </c:extLst>
        </c:ser>
        <c:ser>
          <c:idx val="2"/>
          <c:order val="2"/>
          <c:tx>
            <c:strRef>
              <c:f>'Задание 3 (2)'!$A$4</c:f>
              <c:strCache>
                <c:ptCount val="1"/>
                <c:pt idx="0">
                  <c:v>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(2)'!$B$4:$L$4</c:f>
              <c:numCache>
                <c:formatCode>General</c:formatCode>
                <c:ptCount val="11"/>
                <c:pt idx="0">
                  <c:v>4.8100000000000005</c:v>
                </c:pt>
                <c:pt idx="1">
                  <c:v>2.56</c:v>
                </c:pt>
                <c:pt idx="2">
                  <c:v>0.81</c:v>
                </c:pt>
                <c:pt idx="3">
                  <c:v>-0.43999999999999995</c:v>
                </c:pt>
                <c:pt idx="4">
                  <c:v>-1.19</c:v>
                </c:pt>
                <c:pt idx="5">
                  <c:v>-1.44</c:v>
                </c:pt>
                <c:pt idx="6">
                  <c:v>-1.19</c:v>
                </c:pt>
                <c:pt idx="7">
                  <c:v>-0.43999999999999995</c:v>
                </c:pt>
                <c:pt idx="8">
                  <c:v>0.81</c:v>
                </c:pt>
                <c:pt idx="9">
                  <c:v>2.56</c:v>
                </c:pt>
                <c:pt idx="10">
                  <c:v>4.8100000000000005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E-4E92-86CE-6997F1BE1595}"/>
            </c:ext>
          </c:extLst>
        </c:ser>
        <c:ser>
          <c:idx val="3"/>
          <c:order val="3"/>
          <c:tx>
            <c:strRef>
              <c:f>'Задание 3 (2)'!$A$5</c:f>
              <c:strCache>
                <c:ptCount val="1"/>
                <c:pt idx="0">
                  <c:v>-1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(2)'!$B$5:$L$5</c:f>
              <c:numCache>
                <c:formatCode>General</c:formatCode>
                <c:ptCount val="11"/>
                <c:pt idx="0">
                  <c:v>6.09</c:v>
                </c:pt>
                <c:pt idx="1">
                  <c:v>3.84</c:v>
                </c:pt>
                <c:pt idx="2">
                  <c:v>2.09</c:v>
                </c:pt>
                <c:pt idx="3">
                  <c:v>0.84</c:v>
                </c:pt>
                <c:pt idx="4">
                  <c:v>0.09</c:v>
                </c:pt>
                <c:pt idx="5">
                  <c:v>-0.16</c:v>
                </c:pt>
                <c:pt idx="6">
                  <c:v>0.09</c:v>
                </c:pt>
                <c:pt idx="7">
                  <c:v>0.84</c:v>
                </c:pt>
                <c:pt idx="8">
                  <c:v>2.09</c:v>
                </c:pt>
                <c:pt idx="9">
                  <c:v>3.84</c:v>
                </c:pt>
                <c:pt idx="10">
                  <c:v>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E-4E92-86CE-6997F1BE1595}"/>
            </c:ext>
          </c:extLst>
        </c:ser>
        <c:ser>
          <c:idx val="4"/>
          <c:order val="4"/>
          <c:tx>
            <c:strRef>
              <c:f>'Задание 3 (2)'!$A$6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(2)'!$B$6:$L$6</c:f>
              <c:numCache>
                <c:formatCode>General</c:formatCode>
                <c:ptCount val="11"/>
                <c:pt idx="0">
                  <c:v>6.09</c:v>
                </c:pt>
                <c:pt idx="1">
                  <c:v>3.84</c:v>
                </c:pt>
                <c:pt idx="2">
                  <c:v>2.09</c:v>
                </c:pt>
                <c:pt idx="3">
                  <c:v>0.84</c:v>
                </c:pt>
                <c:pt idx="4">
                  <c:v>0.09</c:v>
                </c:pt>
                <c:pt idx="5">
                  <c:v>-0.16</c:v>
                </c:pt>
                <c:pt idx="6">
                  <c:v>0.09</c:v>
                </c:pt>
                <c:pt idx="7">
                  <c:v>0.84</c:v>
                </c:pt>
                <c:pt idx="8">
                  <c:v>2.09</c:v>
                </c:pt>
                <c:pt idx="9">
                  <c:v>3.84</c:v>
                </c:pt>
                <c:pt idx="10">
                  <c:v>6.09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E-4E92-86CE-6997F1BE1595}"/>
            </c:ext>
          </c:extLst>
        </c:ser>
        <c:ser>
          <c:idx val="5"/>
          <c:order val="5"/>
          <c:tx>
            <c:strRef>
              <c:f>'Задание 3 (2)'!$A$7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(2)'!$B$7:$L$7</c:f>
              <c:numCache>
                <c:formatCode>General</c:formatCode>
                <c:ptCount val="11"/>
                <c:pt idx="0">
                  <c:v>4.8100000000000005</c:v>
                </c:pt>
                <c:pt idx="1">
                  <c:v>2.56</c:v>
                </c:pt>
                <c:pt idx="2">
                  <c:v>0.81</c:v>
                </c:pt>
                <c:pt idx="3">
                  <c:v>-0.43999999999999995</c:v>
                </c:pt>
                <c:pt idx="4">
                  <c:v>-1.19</c:v>
                </c:pt>
                <c:pt idx="5">
                  <c:v>-1.44</c:v>
                </c:pt>
                <c:pt idx="6">
                  <c:v>-1.19</c:v>
                </c:pt>
                <c:pt idx="7">
                  <c:v>-0.43999999999999995</c:v>
                </c:pt>
                <c:pt idx="8">
                  <c:v>0.81</c:v>
                </c:pt>
                <c:pt idx="9">
                  <c:v>2.56</c:v>
                </c:pt>
                <c:pt idx="10">
                  <c:v>4.8100000000000005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E-4E92-86CE-6997F1BE1595}"/>
            </c:ext>
          </c:extLst>
        </c:ser>
        <c:ser>
          <c:idx val="6"/>
          <c:order val="6"/>
          <c:tx>
            <c:strRef>
              <c:f>'Задание 3 (2)'!$A$8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(2)'!$B$8:$L$8</c:f>
              <c:numCache>
                <c:formatCode>General</c:formatCode>
                <c:ptCount val="11"/>
                <c:pt idx="0">
                  <c:v>2.25</c:v>
                </c:pt>
                <c:pt idx="1">
                  <c:v>0</c:v>
                </c:pt>
                <c:pt idx="2">
                  <c:v>-1.75</c:v>
                </c:pt>
                <c:pt idx="3">
                  <c:v>-3</c:v>
                </c:pt>
                <c:pt idx="4">
                  <c:v>-3.75</c:v>
                </c:pt>
                <c:pt idx="5">
                  <c:v>-4</c:v>
                </c:pt>
                <c:pt idx="6">
                  <c:v>-3.75</c:v>
                </c:pt>
                <c:pt idx="7">
                  <c:v>-3</c:v>
                </c:pt>
                <c:pt idx="8">
                  <c:v>-1.75</c:v>
                </c:pt>
                <c:pt idx="9">
                  <c:v>0</c:v>
                </c:pt>
                <c:pt idx="1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E-4E92-86CE-6997F1BE1595}"/>
            </c:ext>
          </c:extLst>
        </c:ser>
        <c:ser>
          <c:idx val="7"/>
          <c:order val="7"/>
          <c:tx>
            <c:strRef>
              <c:f>'Задание 3 (2)'!$A$9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'Задание 3 (2)'!$B$1:$L$1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cat>
          <c:val>
            <c:numRef>
              <c:f>'Задание 3 (2)'!$B$9:$L$9</c:f>
              <c:numCache>
                <c:formatCode>General</c:formatCode>
                <c:ptCount val="11"/>
                <c:pt idx="0">
                  <c:v>-1.5899999999999999</c:v>
                </c:pt>
                <c:pt idx="1">
                  <c:v>-3.84</c:v>
                </c:pt>
                <c:pt idx="2">
                  <c:v>-5.59</c:v>
                </c:pt>
                <c:pt idx="3">
                  <c:v>-6.84</c:v>
                </c:pt>
                <c:pt idx="4">
                  <c:v>-7.59</c:v>
                </c:pt>
                <c:pt idx="5">
                  <c:v>-7.84</c:v>
                </c:pt>
                <c:pt idx="6">
                  <c:v>-7.59</c:v>
                </c:pt>
                <c:pt idx="7">
                  <c:v>-6.84</c:v>
                </c:pt>
                <c:pt idx="8">
                  <c:v>-5.59</c:v>
                </c:pt>
                <c:pt idx="9">
                  <c:v>-3.84</c:v>
                </c:pt>
                <c:pt idx="10">
                  <c:v>-1.5899999999999999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AE-4E92-86CE-6997F1BE159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31216"/>
        <c:axId val="102295824"/>
        <c:axId val="104378992"/>
      </c:surface3DChart>
      <c:catAx>
        <c:axId val="92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stealt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95824"/>
        <c:crosses val="autoZero"/>
        <c:auto val="1"/>
        <c:lblAlgn val="ctr"/>
        <c:lblOffset val="100"/>
        <c:noMultiLvlLbl val="0"/>
      </c:catAx>
      <c:valAx>
        <c:axId val="1022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31216"/>
        <c:crosses val="autoZero"/>
        <c:crossBetween val="midCat"/>
      </c:valAx>
      <c:serAx>
        <c:axId val="104378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9582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125730</xdr:rowOff>
    </xdr:from>
    <xdr:to>
      <xdr:col>15</xdr:col>
      <xdr:colOff>171450</xdr:colOff>
      <xdr:row>26</xdr:row>
      <xdr:rowOff>15240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F29DBFA-9455-4287-B6F2-2F438970D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27542</xdr:colOff>
      <xdr:row>5</xdr:row>
      <xdr:rowOff>47816</xdr:rowOff>
    </xdr:from>
    <xdr:to>
      <xdr:col>10</xdr:col>
      <xdr:colOff>358049</xdr:colOff>
      <xdr:row>21</xdr:row>
      <xdr:rowOff>201975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7BAE79F-5528-4655-B8CF-4FE4DE01B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32133</xdr:colOff>
      <xdr:row>24</xdr:row>
      <xdr:rowOff>37640</xdr:rowOff>
    </xdr:from>
    <xdr:to>
      <xdr:col>10</xdr:col>
      <xdr:colOff>330506</xdr:colOff>
      <xdr:row>38</xdr:row>
      <xdr:rowOff>55084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A926DF5-7F3E-4F4D-9C88-8FF18CD47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36722</xdr:rowOff>
    </xdr:from>
    <xdr:to>
      <xdr:col>8</xdr:col>
      <xdr:colOff>403952</xdr:colOff>
      <xdr:row>56</xdr:row>
      <xdr:rowOff>73446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BC229B3-ED5B-469C-A0FF-EDAA8CACD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123940</xdr:colOff>
      <xdr:row>61</xdr:row>
      <xdr:rowOff>120268</xdr:rowOff>
    </xdr:from>
    <xdr:to>
      <xdr:col>13</xdr:col>
      <xdr:colOff>146892</xdr:colOff>
      <xdr:row>73</xdr:row>
      <xdr:rowOff>146893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D048843-3DCC-4E25-86B5-E5054273C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86</xdr:row>
      <xdr:rowOff>103099</xdr:rowOff>
    </xdr:from>
    <xdr:to>
      <xdr:col>10</xdr:col>
      <xdr:colOff>19831</xdr:colOff>
      <xdr:row>96</xdr:row>
      <xdr:rowOff>203170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7C01E77-5C8C-46C7-8742-681C329D1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20013</xdr:colOff>
      <xdr:row>101</xdr:row>
      <xdr:rowOff>147808</xdr:rowOff>
    </xdr:from>
    <xdr:to>
      <xdr:col>11</xdr:col>
      <xdr:colOff>134773</xdr:colOff>
      <xdr:row>116</xdr:row>
      <xdr:rowOff>45903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7A1B199-9789-45FA-BE4A-8334DBAEE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24447</xdr:rowOff>
    </xdr:from>
    <xdr:to>
      <xdr:col>12</xdr:col>
      <xdr:colOff>366077</xdr:colOff>
      <xdr:row>31</xdr:row>
      <xdr:rowOff>112077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9AFE040-FC5B-4F6C-9C91-A1BB7A300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16147</xdr:rowOff>
    </xdr:from>
    <xdr:to>
      <xdr:col>13</xdr:col>
      <xdr:colOff>95250</xdr:colOff>
      <xdr:row>29</xdr:row>
      <xdr:rowOff>58057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B0876A-4A63-464B-84D9-0C35BC4D3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view="pageLayout" zoomScaleNormal="100" workbookViewId="0">
      <selection activeCell="W5" sqref="W5"/>
    </sheetView>
  </sheetViews>
  <sheetFormatPr defaultColWidth="5.44140625" defaultRowHeight="18" x14ac:dyDescent="0.35"/>
  <cols>
    <col min="1" max="1" width="5.44140625" style="1"/>
    <col min="2" max="2" width="7" style="1" bestFit="1" customWidth="1"/>
    <col min="3" max="16384" width="5.44140625" style="1"/>
  </cols>
  <sheetData>
    <row r="1" spans="1:8" x14ac:dyDescent="0.35">
      <c r="A1" s="2" t="s">
        <v>0</v>
      </c>
      <c r="B1" s="2">
        <v>0.5</v>
      </c>
    </row>
    <row r="2" spans="1:8" x14ac:dyDescent="0.35">
      <c r="A2" s="2" t="s">
        <v>1</v>
      </c>
      <c r="B2" s="3">
        <v>2.5</v>
      </c>
    </row>
    <row r="4" spans="1:8" x14ac:dyDescent="0.35">
      <c r="A4" s="4" t="s">
        <v>2</v>
      </c>
      <c r="B4" s="4">
        <v>-3</v>
      </c>
      <c r="C4" s="4">
        <v>-2</v>
      </c>
      <c r="D4" s="4">
        <v>-1</v>
      </c>
      <c r="E4" s="4">
        <v>0</v>
      </c>
      <c r="F4" s="4">
        <v>1</v>
      </c>
      <c r="G4" s="4">
        <v>2</v>
      </c>
      <c r="H4" s="4">
        <v>3</v>
      </c>
    </row>
    <row r="5" spans="1:8" x14ac:dyDescent="0.35">
      <c r="A5" s="4" t="s">
        <v>3</v>
      </c>
      <c r="B5" s="4">
        <f>$B1*B4+$B2</f>
        <v>1</v>
      </c>
      <c r="C5" s="4">
        <f t="shared" ref="C5:G5" si="0">$B1*C4+$B2</f>
        <v>1.5</v>
      </c>
      <c r="D5" s="4">
        <f t="shared" si="0"/>
        <v>2</v>
      </c>
      <c r="E5" s="4">
        <f t="shared" si="0"/>
        <v>2.5</v>
      </c>
      <c r="F5" s="4">
        <f t="shared" si="0"/>
        <v>3</v>
      </c>
      <c r="G5" s="4">
        <f t="shared" si="0"/>
        <v>3.5</v>
      </c>
      <c r="H5" s="4">
        <f>$B1*H4+$B2</f>
        <v>4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Рамильевич.
22.07.2004. 2 группа, 2 подгруппа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8C87-9B13-458F-8605-68E1AC6A428E}">
  <dimension ref="A1:O99"/>
  <sheetViews>
    <sheetView view="pageLayout" zoomScaleNormal="83" workbookViewId="0">
      <selection activeCell="A85" sqref="A85:H86"/>
    </sheetView>
  </sheetViews>
  <sheetFormatPr defaultColWidth="6.21875" defaultRowHeight="18" x14ac:dyDescent="0.35"/>
  <cols>
    <col min="1" max="16384" width="6.21875" style="1"/>
  </cols>
  <sheetData>
    <row r="1" spans="1:8" x14ac:dyDescent="0.35">
      <c r="A1" s="2" t="s">
        <v>4</v>
      </c>
      <c r="B1" s="2">
        <v>2</v>
      </c>
    </row>
    <row r="2" spans="1:8" x14ac:dyDescent="0.35">
      <c r="A2" s="2" t="s">
        <v>1</v>
      </c>
      <c r="B2" s="2">
        <v>3</v>
      </c>
    </row>
    <row r="4" spans="1:8" x14ac:dyDescent="0.35">
      <c r="A4" s="4" t="s">
        <v>2</v>
      </c>
      <c r="B4" s="4">
        <v>-2</v>
      </c>
      <c r="C4" s="4">
        <v>-1</v>
      </c>
      <c r="D4" s="4">
        <v>0</v>
      </c>
      <c r="E4" s="4">
        <v>1</v>
      </c>
      <c r="F4" s="4">
        <v>2</v>
      </c>
      <c r="G4" s="4">
        <v>3</v>
      </c>
      <c r="H4" s="4">
        <v>4</v>
      </c>
    </row>
    <row r="5" spans="1:8" x14ac:dyDescent="0.35">
      <c r="A5" s="4" t="s">
        <v>3</v>
      </c>
      <c r="B5" s="4">
        <f>POWER($B1,B4)+$B2</f>
        <v>3.25</v>
      </c>
      <c r="C5" s="4">
        <f t="shared" ref="C5:H5" si="0">POWER($B1,C4)+$B2</f>
        <v>3.5</v>
      </c>
      <c r="D5" s="4">
        <f t="shared" si="0"/>
        <v>4</v>
      </c>
      <c r="E5" s="4">
        <f t="shared" si="0"/>
        <v>5</v>
      </c>
      <c r="F5" s="4">
        <f>POWER($B1,F4)+$B2</f>
        <v>7</v>
      </c>
      <c r="G5" s="4">
        <f t="shared" si="0"/>
        <v>11</v>
      </c>
      <c r="H5" s="4">
        <f t="shared" si="0"/>
        <v>19</v>
      </c>
    </row>
    <row r="23" spans="1:9" x14ac:dyDescent="0.35">
      <c r="A23" s="10" t="s">
        <v>2</v>
      </c>
      <c r="B23" s="10">
        <v>0</v>
      </c>
      <c r="C23" s="10">
        <v>1</v>
      </c>
      <c r="D23" s="10">
        <v>4</v>
      </c>
      <c r="E23" s="10">
        <v>9</v>
      </c>
      <c r="F23" s="10">
        <v>16</v>
      </c>
      <c r="G23" s="10">
        <v>25</v>
      </c>
      <c r="H23" s="10">
        <v>36</v>
      </c>
      <c r="I23" s="10">
        <v>49</v>
      </c>
    </row>
    <row r="24" spans="1:9" x14ac:dyDescent="0.35">
      <c r="A24" s="10" t="s">
        <v>3</v>
      </c>
      <c r="B24" s="10">
        <f>SQRT(B23)</f>
        <v>0</v>
      </c>
      <c r="C24" s="10">
        <f t="shared" ref="C24:I24" si="1">SQRT(C23)</f>
        <v>1</v>
      </c>
      <c r="D24" s="10">
        <f t="shared" si="1"/>
        <v>2</v>
      </c>
      <c r="E24" s="10">
        <f t="shared" si="1"/>
        <v>3</v>
      </c>
      <c r="F24" s="10">
        <f t="shared" si="1"/>
        <v>4</v>
      </c>
      <c r="G24" s="10">
        <f t="shared" si="1"/>
        <v>5</v>
      </c>
      <c r="H24" s="10">
        <f t="shared" si="1"/>
        <v>6</v>
      </c>
      <c r="I24" s="10">
        <f t="shared" si="1"/>
        <v>7</v>
      </c>
    </row>
    <row r="40" spans="1:11" x14ac:dyDescent="0.35">
      <c r="A40" s="2" t="s">
        <v>5</v>
      </c>
      <c r="B40" s="2">
        <v>7</v>
      </c>
    </row>
    <row r="42" spans="1:11" x14ac:dyDescent="0.35">
      <c r="A42" s="2" t="s">
        <v>2</v>
      </c>
      <c r="B42" s="2">
        <v>-5</v>
      </c>
      <c r="C42" s="2">
        <v>-4</v>
      </c>
      <c r="D42" s="2">
        <v>-3</v>
      </c>
      <c r="E42" s="2">
        <v>-2</v>
      </c>
      <c r="F42" s="2">
        <v>-1</v>
      </c>
      <c r="G42" s="2">
        <v>0</v>
      </c>
      <c r="H42" s="2">
        <v>1</v>
      </c>
      <c r="I42" s="2">
        <v>2</v>
      </c>
      <c r="J42" s="2">
        <v>3</v>
      </c>
      <c r="K42" s="2">
        <v>4</v>
      </c>
    </row>
    <row r="43" spans="1:11" x14ac:dyDescent="0.35">
      <c r="A43" s="2" t="s">
        <v>3</v>
      </c>
      <c r="B43" s="2">
        <f>$B40-ABS(B42)</f>
        <v>2</v>
      </c>
      <c r="C43" s="2">
        <f t="shared" ref="C43:K43" si="2">$B40-ABS(C42)</f>
        <v>3</v>
      </c>
      <c r="D43" s="2">
        <f t="shared" si="2"/>
        <v>4</v>
      </c>
      <c r="E43" s="2">
        <f t="shared" si="2"/>
        <v>5</v>
      </c>
      <c r="F43" s="2">
        <f t="shared" si="2"/>
        <v>6</v>
      </c>
      <c r="G43" s="2">
        <f t="shared" si="2"/>
        <v>7</v>
      </c>
      <c r="H43" s="2">
        <f t="shared" si="2"/>
        <v>6</v>
      </c>
      <c r="I43" s="2">
        <f t="shared" si="2"/>
        <v>5</v>
      </c>
      <c r="J43" s="2">
        <f t="shared" si="2"/>
        <v>4</v>
      </c>
      <c r="K43" s="2">
        <f t="shared" si="2"/>
        <v>3</v>
      </c>
    </row>
    <row r="58" spans="1:15" x14ac:dyDescent="0.35">
      <c r="A58" s="2" t="s">
        <v>5</v>
      </c>
      <c r="B58" s="2">
        <v>1</v>
      </c>
    </row>
    <row r="60" spans="1:15" x14ac:dyDescent="0.35">
      <c r="A60" s="6" t="s">
        <v>2</v>
      </c>
      <c r="B60" s="7">
        <v>-1.5</v>
      </c>
      <c r="C60" s="7">
        <v>-1.25</v>
      </c>
      <c r="D60" s="7">
        <v>-1</v>
      </c>
      <c r="E60" s="7">
        <v>-0.75</v>
      </c>
      <c r="F60" s="7">
        <v>-0.5</v>
      </c>
      <c r="G60" s="7">
        <v>-0.25</v>
      </c>
      <c r="H60" s="8">
        <v>0.1</v>
      </c>
      <c r="I60" s="7">
        <v>0.25</v>
      </c>
      <c r="J60" s="6">
        <v>0.5</v>
      </c>
      <c r="K60" s="7">
        <v>0.75</v>
      </c>
      <c r="L60" s="6">
        <v>1</v>
      </c>
      <c r="M60" s="7">
        <v>1.25</v>
      </c>
      <c r="N60" s="6">
        <v>1.5</v>
      </c>
      <c r="O60" s="7">
        <v>1.75</v>
      </c>
    </row>
    <row r="61" spans="1:15" x14ac:dyDescent="0.35">
      <c r="A61" s="6" t="s">
        <v>3</v>
      </c>
      <c r="B61" s="6">
        <f>$B58/B60</f>
        <v>-0.66666666666666663</v>
      </c>
      <c r="C61" s="6">
        <f t="shared" ref="C61:O61" si="3">$B58/C60</f>
        <v>-0.8</v>
      </c>
      <c r="D61" s="6">
        <f t="shared" si="3"/>
        <v>-1</v>
      </c>
      <c r="E61" s="6">
        <f t="shared" si="3"/>
        <v>-1.3333333333333333</v>
      </c>
      <c r="F61" s="6">
        <f t="shared" si="3"/>
        <v>-2</v>
      </c>
      <c r="G61" s="6">
        <f t="shared" si="3"/>
        <v>-4</v>
      </c>
      <c r="H61" s="6">
        <f t="shared" si="3"/>
        <v>10</v>
      </c>
      <c r="I61" s="6">
        <f t="shared" si="3"/>
        <v>4</v>
      </c>
      <c r="J61" s="6">
        <f t="shared" si="3"/>
        <v>2</v>
      </c>
      <c r="K61" s="6">
        <f t="shared" si="3"/>
        <v>1.3333333333333333</v>
      </c>
      <c r="L61" s="6">
        <f t="shared" si="3"/>
        <v>1</v>
      </c>
      <c r="M61" s="6">
        <f t="shared" si="3"/>
        <v>0.8</v>
      </c>
      <c r="N61" s="6">
        <f t="shared" si="3"/>
        <v>0.66666666666666663</v>
      </c>
      <c r="O61" s="6">
        <f t="shared" si="3"/>
        <v>0.5714285714285714</v>
      </c>
    </row>
    <row r="85" spans="1:8" x14ac:dyDescent="0.35">
      <c r="A85" s="12" t="s">
        <v>2</v>
      </c>
      <c r="B85" s="12">
        <v>0.25</v>
      </c>
      <c r="C85" s="12">
        <v>0.5</v>
      </c>
      <c r="D85" s="12">
        <v>0.75</v>
      </c>
      <c r="E85" s="12">
        <v>1</v>
      </c>
      <c r="F85" s="12">
        <v>1.25</v>
      </c>
      <c r="G85" s="12">
        <v>1.5</v>
      </c>
      <c r="H85" s="12">
        <v>1.75</v>
      </c>
    </row>
    <row r="86" spans="1:8" x14ac:dyDescent="0.35">
      <c r="A86" s="12" t="s">
        <v>3</v>
      </c>
      <c r="B86" s="12">
        <f>LN(B85)</f>
        <v>-1.3862943611198906</v>
      </c>
      <c r="C86" s="12">
        <f t="shared" ref="C86:H86" si="4">LN(C85)</f>
        <v>-0.69314718055994529</v>
      </c>
      <c r="D86" s="12">
        <f t="shared" si="4"/>
        <v>-0.2876820724517809</v>
      </c>
      <c r="E86" s="12">
        <f t="shared" si="4"/>
        <v>0</v>
      </c>
      <c r="F86" s="12">
        <f t="shared" si="4"/>
        <v>0.22314355131420976</v>
      </c>
      <c r="G86" s="12">
        <f t="shared" si="4"/>
        <v>0.40546510810816438</v>
      </c>
      <c r="H86" s="12">
        <f t="shared" si="4"/>
        <v>0.55961578793542266</v>
      </c>
    </row>
    <row r="98" spans="1:8" x14ac:dyDescent="0.35">
      <c r="A98" s="9" t="s">
        <v>2</v>
      </c>
      <c r="B98" s="9">
        <v>-1</v>
      </c>
      <c r="C98" s="9">
        <v>0</v>
      </c>
      <c r="D98" s="9">
        <v>1</v>
      </c>
      <c r="E98" s="9">
        <v>2</v>
      </c>
      <c r="F98" s="9">
        <v>3</v>
      </c>
      <c r="G98" s="9">
        <v>4</v>
      </c>
      <c r="H98" s="9">
        <v>5</v>
      </c>
    </row>
    <row r="99" spans="1:8" x14ac:dyDescent="0.35">
      <c r="A99" s="9" t="s">
        <v>3</v>
      </c>
      <c r="B99" s="9">
        <f>LN(5)</f>
        <v>1.6094379124341003</v>
      </c>
      <c r="C99" s="9">
        <f t="shared" ref="C99:H99" si="5">LN(5)</f>
        <v>1.6094379124341003</v>
      </c>
      <c r="D99" s="9">
        <f t="shared" si="5"/>
        <v>1.6094379124341003</v>
      </c>
      <c r="E99" s="9">
        <f t="shared" si="5"/>
        <v>1.6094379124341003</v>
      </c>
      <c r="F99" s="9">
        <f t="shared" si="5"/>
        <v>1.6094379124341003</v>
      </c>
      <c r="G99" s="9">
        <f t="shared" si="5"/>
        <v>1.6094379124341003</v>
      </c>
      <c r="H99" s="9">
        <f t="shared" si="5"/>
        <v>1.6094379124341003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Рамильевич.
22.07.2004. 2 группа, 2 подгруппа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202C-64AC-4DD4-B462-4ADB33097D87}">
  <dimension ref="A1:L12"/>
  <sheetViews>
    <sheetView view="pageLayout" zoomScaleNormal="96" workbookViewId="0">
      <selection activeCell="N3" sqref="N3"/>
    </sheetView>
  </sheetViews>
  <sheetFormatPr defaultColWidth="6.21875" defaultRowHeight="18" x14ac:dyDescent="0.35"/>
  <cols>
    <col min="1" max="1" width="6.21875" style="1"/>
    <col min="2" max="4" width="7" style="1" bestFit="1" customWidth="1"/>
    <col min="5" max="9" width="7.77734375" style="1" bestFit="1" customWidth="1"/>
    <col min="10" max="12" width="7" style="1" bestFit="1" customWidth="1"/>
    <col min="13" max="16384" width="6.21875" style="1"/>
  </cols>
  <sheetData>
    <row r="1" spans="1:12" x14ac:dyDescent="0.35">
      <c r="B1" s="10">
        <v>-7.5</v>
      </c>
      <c r="C1" s="10">
        <v>-6</v>
      </c>
      <c r="D1" s="10">
        <v>-4.5</v>
      </c>
      <c r="E1" s="10">
        <v>-3</v>
      </c>
      <c r="F1" s="10">
        <v>-1.5</v>
      </c>
      <c r="G1" s="10">
        <v>0</v>
      </c>
      <c r="H1" s="10">
        <v>1.5</v>
      </c>
      <c r="I1" s="10">
        <v>3</v>
      </c>
      <c r="J1" s="10">
        <v>4.5</v>
      </c>
      <c r="K1" s="10">
        <v>6</v>
      </c>
      <c r="L1" s="10">
        <v>7.5</v>
      </c>
    </row>
    <row r="2" spans="1:12" x14ac:dyDescent="0.35">
      <c r="A2" s="10">
        <v>-5</v>
      </c>
      <c r="B2" s="5">
        <f>(B$1)^2 - ($A2)^2</f>
        <v>31.25</v>
      </c>
      <c r="C2" s="5">
        <f t="shared" ref="C2:L2" si="0">(C$1)^2 - ($A2)^2</f>
        <v>11</v>
      </c>
      <c r="D2" s="5">
        <f t="shared" si="0"/>
        <v>-4.75</v>
      </c>
      <c r="E2" s="5">
        <f t="shared" si="0"/>
        <v>-16</v>
      </c>
      <c r="F2" s="5">
        <f t="shared" si="0"/>
        <v>-22.75</v>
      </c>
      <c r="G2" s="5">
        <f t="shared" si="0"/>
        <v>-25</v>
      </c>
      <c r="H2" s="5">
        <f t="shared" si="0"/>
        <v>-22.75</v>
      </c>
      <c r="I2" s="5">
        <f t="shared" si="0"/>
        <v>-16</v>
      </c>
      <c r="J2" s="5">
        <f t="shared" si="0"/>
        <v>-4.75</v>
      </c>
      <c r="K2" s="5">
        <f t="shared" si="0"/>
        <v>11</v>
      </c>
      <c r="L2" s="5">
        <f t="shared" si="0"/>
        <v>31.25</v>
      </c>
    </row>
    <row r="3" spans="1:12" x14ac:dyDescent="0.35">
      <c r="A3" s="10">
        <v>-4</v>
      </c>
      <c r="B3" s="5">
        <f t="shared" ref="B3:L12" si="1">(B$1)^2 - ($A3)^2</f>
        <v>40.25</v>
      </c>
      <c r="C3" s="5">
        <f t="shared" si="1"/>
        <v>20</v>
      </c>
      <c r="D3" s="5">
        <f t="shared" si="1"/>
        <v>4.25</v>
      </c>
      <c r="E3" s="5">
        <f t="shared" si="1"/>
        <v>-7</v>
      </c>
      <c r="F3" s="5">
        <f t="shared" si="1"/>
        <v>-13.75</v>
      </c>
      <c r="G3" s="5">
        <f t="shared" si="1"/>
        <v>-16</v>
      </c>
      <c r="H3" s="5">
        <f t="shared" si="1"/>
        <v>-13.75</v>
      </c>
      <c r="I3" s="5">
        <f t="shared" si="1"/>
        <v>-7</v>
      </c>
      <c r="J3" s="5">
        <f t="shared" si="1"/>
        <v>4.25</v>
      </c>
      <c r="K3" s="5">
        <f t="shared" si="1"/>
        <v>20</v>
      </c>
      <c r="L3" s="5">
        <f t="shared" si="1"/>
        <v>40.25</v>
      </c>
    </row>
    <row r="4" spans="1:12" x14ac:dyDescent="0.35">
      <c r="A4" s="10">
        <v>-3</v>
      </c>
      <c r="B4" s="5">
        <f t="shared" si="1"/>
        <v>47.25</v>
      </c>
      <c r="C4" s="5">
        <f t="shared" si="1"/>
        <v>27</v>
      </c>
      <c r="D4" s="5">
        <f t="shared" si="1"/>
        <v>11.25</v>
      </c>
      <c r="E4" s="5">
        <f t="shared" si="1"/>
        <v>0</v>
      </c>
      <c r="F4" s="5">
        <f t="shared" si="1"/>
        <v>-6.75</v>
      </c>
      <c r="G4" s="5">
        <f t="shared" si="1"/>
        <v>-9</v>
      </c>
      <c r="H4" s="5">
        <f t="shared" si="1"/>
        <v>-6.75</v>
      </c>
      <c r="I4" s="5">
        <f t="shared" si="1"/>
        <v>0</v>
      </c>
      <c r="J4" s="5">
        <f t="shared" si="1"/>
        <v>11.25</v>
      </c>
      <c r="K4" s="5">
        <f t="shared" si="1"/>
        <v>27</v>
      </c>
      <c r="L4" s="5">
        <f t="shared" si="1"/>
        <v>47.25</v>
      </c>
    </row>
    <row r="5" spans="1:12" x14ac:dyDescent="0.35">
      <c r="A5" s="10">
        <v>-2</v>
      </c>
      <c r="B5" s="5">
        <f t="shared" si="1"/>
        <v>52.25</v>
      </c>
      <c r="C5" s="5">
        <f t="shared" si="1"/>
        <v>32</v>
      </c>
      <c r="D5" s="5">
        <f t="shared" si="1"/>
        <v>16.25</v>
      </c>
      <c r="E5" s="5">
        <f t="shared" si="1"/>
        <v>5</v>
      </c>
      <c r="F5" s="5">
        <f t="shared" si="1"/>
        <v>-1.75</v>
      </c>
      <c r="G5" s="5">
        <f t="shared" si="1"/>
        <v>-4</v>
      </c>
      <c r="H5" s="5">
        <f t="shared" si="1"/>
        <v>-1.75</v>
      </c>
      <c r="I5" s="5">
        <f t="shared" si="1"/>
        <v>5</v>
      </c>
      <c r="J5" s="5">
        <f t="shared" si="1"/>
        <v>16.25</v>
      </c>
      <c r="K5" s="5">
        <f t="shared" si="1"/>
        <v>32</v>
      </c>
      <c r="L5" s="5">
        <f t="shared" si="1"/>
        <v>52.25</v>
      </c>
    </row>
    <row r="6" spans="1:12" x14ac:dyDescent="0.35">
      <c r="A6" s="10">
        <v>-1</v>
      </c>
      <c r="B6" s="5">
        <f t="shared" si="1"/>
        <v>55.25</v>
      </c>
      <c r="C6" s="5">
        <f t="shared" si="1"/>
        <v>35</v>
      </c>
      <c r="D6" s="5">
        <f t="shared" si="1"/>
        <v>19.25</v>
      </c>
      <c r="E6" s="5">
        <f t="shared" si="1"/>
        <v>8</v>
      </c>
      <c r="F6" s="5">
        <f t="shared" si="1"/>
        <v>1.25</v>
      </c>
      <c r="G6" s="5">
        <f t="shared" si="1"/>
        <v>-1</v>
      </c>
      <c r="H6" s="5">
        <f t="shared" si="1"/>
        <v>1.25</v>
      </c>
      <c r="I6" s="5">
        <f t="shared" si="1"/>
        <v>8</v>
      </c>
      <c r="J6" s="5">
        <f t="shared" si="1"/>
        <v>19.25</v>
      </c>
      <c r="K6" s="5">
        <f t="shared" si="1"/>
        <v>35</v>
      </c>
      <c r="L6" s="5">
        <f t="shared" si="1"/>
        <v>55.25</v>
      </c>
    </row>
    <row r="7" spans="1:12" x14ac:dyDescent="0.35">
      <c r="A7" s="10">
        <v>0</v>
      </c>
      <c r="B7" s="5">
        <f t="shared" si="1"/>
        <v>56.25</v>
      </c>
      <c r="C7" s="5">
        <f t="shared" si="1"/>
        <v>36</v>
      </c>
      <c r="D7" s="5">
        <f t="shared" si="1"/>
        <v>20.25</v>
      </c>
      <c r="E7" s="5">
        <f t="shared" si="1"/>
        <v>9</v>
      </c>
      <c r="F7" s="5">
        <f t="shared" si="1"/>
        <v>2.25</v>
      </c>
      <c r="G7" s="5">
        <f t="shared" si="1"/>
        <v>0</v>
      </c>
      <c r="H7" s="5">
        <f t="shared" si="1"/>
        <v>2.25</v>
      </c>
      <c r="I7" s="5">
        <f t="shared" si="1"/>
        <v>9</v>
      </c>
      <c r="J7" s="5">
        <f t="shared" si="1"/>
        <v>20.25</v>
      </c>
      <c r="K7" s="5">
        <f t="shared" si="1"/>
        <v>36</v>
      </c>
      <c r="L7" s="5">
        <f t="shared" si="1"/>
        <v>56.25</v>
      </c>
    </row>
    <row r="8" spans="1:12" x14ac:dyDescent="0.35">
      <c r="A8" s="10">
        <v>1</v>
      </c>
      <c r="B8" s="5">
        <f t="shared" si="1"/>
        <v>55.25</v>
      </c>
      <c r="C8" s="5">
        <f t="shared" si="1"/>
        <v>35</v>
      </c>
      <c r="D8" s="5">
        <f t="shared" si="1"/>
        <v>19.25</v>
      </c>
      <c r="E8" s="5">
        <f t="shared" si="1"/>
        <v>8</v>
      </c>
      <c r="F8" s="5">
        <f t="shared" si="1"/>
        <v>1.25</v>
      </c>
      <c r="G8" s="5">
        <f t="shared" si="1"/>
        <v>-1</v>
      </c>
      <c r="H8" s="5">
        <f t="shared" si="1"/>
        <v>1.25</v>
      </c>
      <c r="I8" s="5">
        <f t="shared" si="1"/>
        <v>8</v>
      </c>
      <c r="J8" s="5">
        <f t="shared" si="1"/>
        <v>19.25</v>
      </c>
      <c r="K8" s="5">
        <f t="shared" si="1"/>
        <v>35</v>
      </c>
      <c r="L8" s="5">
        <f t="shared" si="1"/>
        <v>55.25</v>
      </c>
    </row>
    <row r="9" spans="1:12" x14ac:dyDescent="0.35">
      <c r="A9" s="10">
        <v>2</v>
      </c>
      <c r="B9" s="5">
        <f t="shared" si="1"/>
        <v>52.25</v>
      </c>
      <c r="C9" s="5">
        <f t="shared" si="1"/>
        <v>32</v>
      </c>
      <c r="D9" s="5">
        <f t="shared" si="1"/>
        <v>16.25</v>
      </c>
      <c r="E9" s="5">
        <f t="shared" si="1"/>
        <v>5</v>
      </c>
      <c r="F9" s="5">
        <f t="shared" si="1"/>
        <v>-1.75</v>
      </c>
      <c r="G9" s="5">
        <f t="shared" si="1"/>
        <v>-4</v>
      </c>
      <c r="H9" s="5">
        <f t="shared" si="1"/>
        <v>-1.75</v>
      </c>
      <c r="I9" s="5">
        <f t="shared" si="1"/>
        <v>5</v>
      </c>
      <c r="J9" s="5">
        <f t="shared" si="1"/>
        <v>16.25</v>
      </c>
      <c r="K9" s="5">
        <f t="shared" si="1"/>
        <v>32</v>
      </c>
      <c r="L9" s="5">
        <f t="shared" si="1"/>
        <v>52.25</v>
      </c>
    </row>
    <row r="10" spans="1:12" x14ac:dyDescent="0.35">
      <c r="A10" s="10">
        <v>3</v>
      </c>
      <c r="B10" s="5">
        <f t="shared" si="1"/>
        <v>47.25</v>
      </c>
      <c r="C10" s="5">
        <f t="shared" si="1"/>
        <v>27</v>
      </c>
      <c r="D10" s="5">
        <f t="shared" si="1"/>
        <v>11.25</v>
      </c>
      <c r="E10" s="5">
        <f t="shared" si="1"/>
        <v>0</v>
      </c>
      <c r="F10" s="5">
        <f t="shared" si="1"/>
        <v>-6.75</v>
      </c>
      <c r="G10" s="5">
        <f t="shared" si="1"/>
        <v>-9</v>
      </c>
      <c r="H10" s="5">
        <f t="shared" si="1"/>
        <v>-6.75</v>
      </c>
      <c r="I10" s="5">
        <f t="shared" si="1"/>
        <v>0</v>
      </c>
      <c r="J10" s="5">
        <f t="shared" si="1"/>
        <v>11.25</v>
      </c>
      <c r="K10" s="5">
        <f t="shared" si="1"/>
        <v>27</v>
      </c>
      <c r="L10" s="5">
        <f t="shared" si="1"/>
        <v>47.25</v>
      </c>
    </row>
    <row r="11" spans="1:12" x14ac:dyDescent="0.35">
      <c r="A11" s="10">
        <v>4</v>
      </c>
      <c r="B11" s="5">
        <f t="shared" si="1"/>
        <v>40.25</v>
      </c>
      <c r="C11" s="5">
        <f t="shared" si="1"/>
        <v>20</v>
      </c>
      <c r="D11" s="5">
        <f t="shared" si="1"/>
        <v>4.25</v>
      </c>
      <c r="E11" s="5">
        <f t="shared" si="1"/>
        <v>-7</v>
      </c>
      <c r="F11" s="5">
        <f t="shared" si="1"/>
        <v>-13.75</v>
      </c>
      <c r="G11" s="5">
        <f t="shared" si="1"/>
        <v>-16</v>
      </c>
      <c r="H11" s="5">
        <f t="shared" si="1"/>
        <v>-13.75</v>
      </c>
      <c r="I11" s="5">
        <f t="shared" si="1"/>
        <v>-7</v>
      </c>
      <c r="J11" s="5">
        <f t="shared" si="1"/>
        <v>4.25</v>
      </c>
      <c r="K11" s="5">
        <f t="shared" si="1"/>
        <v>20</v>
      </c>
      <c r="L11" s="5">
        <f t="shared" si="1"/>
        <v>40.25</v>
      </c>
    </row>
    <row r="12" spans="1:12" x14ac:dyDescent="0.35">
      <c r="A12" s="10">
        <v>5</v>
      </c>
      <c r="B12" s="5">
        <f t="shared" si="1"/>
        <v>31.25</v>
      </c>
      <c r="C12" s="5">
        <f t="shared" si="1"/>
        <v>11</v>
      </c>
      <c r="D12" s="5">
        <f t="shared" si="1"/>
        <v>-4.75</v>
      </c>
      <c r="E12" s="5">
        <f t="shared" si="1"/>
        <v>-16</v>
      </c>
      <c r="F12" s="5">
        <f t="shared" si="1"/>
        <v>-22.75</v>
      </c>
      <c r="G12" s="5">
        <f t="shared" si="1"/>
        <v>-25</v>
      </c>
      <c r="H12" s="5">
        <f t="shared" si="1"/>
        <v>-22.75</v>
      </c>
      <c r="I12" s="5">
        <f t="shared" si="1"/>
        <v>-16</v>
      </c>
      <c r="J12" s="5">
        <f t="shared" si="1"/>
        <v>-4.75</v>
      </c>
      <c r="K12" s="5">
        <f t="shared" si="1"/>
        <v>11</v>
      </c>
      <c r="L12" s="5">
        <f t="shared" si="1"/>
        <v>31.25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Рамильевич.
22.07.2004. 2 группа, 2 подгруппа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ED1C-441F-4315-945F-1809057A6441}">
  <dimension ref="A1:L13"/>
  <sheetViews>
    <sheetView view="pageLayout" zoomScaleNormal="100" workbookViewId="0">
      <selection activeCell="Z3" sqref="Z3"/>
    </sheetView>
  </sheetViews>
  <sheetFormatPr defaultColWidth="5.5546875" defaultRowHeight="18" x14ac:dyDescent="0.35"/>
  <cols>
    <col min="1" max="16384" width="5.5546875" style="1"/>
  </cols>
  <sheetData>
    <row r="1" spans="1:12" x14ac:dyDescent="0.35">
      <c r="B1" s="11">
        <v>-10</v>
      </c>
      <c r="C1" s="11">
        <v>-8</v>
      </c>
      <c r="D1" s="11">
        <v>-6</v>
      </c>
      <c r="E1" s="11">
        <v>-4</v>
      </c>
      <c r="F1" s="11">
        <v>-2</v>
      </c>
      <c r="G1" s="11">
        <v>0</v>
      </c>
      <c r="H1" s="11">
        <v>2</v>
      </c>
      <c r="I1" s="11">
        <v>4</v>
      </c>
      <c r="J1" s="11">
        <v>6</v>
      </c>
      <c r="K1" s="11">
        <v>8</v>
      </c>
      <c r="L1" s="11">
        <v>10</v>
      </c>
    </row>
    <row r="2" spans="1:12" x14ac:dyDescent="0.35">
      <c r="A2" s="11">
        <v>-7</v>
      </c>
      <c r="B2" s="1">
        <f>((B$1)^2)/($B$12^2) - (($A2)^2)/($B$13^2)</f>
        <v>-1.5899999999999999</v>
      </c>
      <c r="C2" s="1">
        <f t="shared" ref="C2:L9" si="0">((C$1)^2)/($B$12^2) - (($A2)^2)/($B$13^2)</f>
        <v>-3.84</v>
      </c>
      <c r="D2" s="1">
        <f t="shared" si="0"/>
        <v>-5.59</v>
      </c>
      <c r="E2" s="1">
        <f t="shared" si="0"/>
        <v>-6.84</v>
      </c>
      <c r="F2" s="1">
        <f t="shared" si="0"/>
        <v>-7.59</v>
      </c>
      <c r="G2" s="1">
        <f t="shared" si="0"/>
        <v>-7.84</v>
      </c>
      <c r="H2" s="1">
        <f t="shared" si="0"/>
        <v>-7.59</v>
      </c>
      <c r="I2" s="1">
        <f t="shared" si="0"/>
        <v>-6.84</v>
      </c>
      <c r="J2" s="1">
        <f t="shared" si="0"/>
        <v>-5.59</v>
      </c>
      <c r="K2" s="1">
        <f t="shared" si="0"/>
        <v>-3.84</v>
      </c>
      <c r="L2" s="1">
        <f t="shared" si="0"/>
        <v>-1.5899999999999999</v>
      </c>
    </row>
    <row r="3" spans="1:12" x14ac:dyDescent="0.35">
      <c r="A3" s="11">
        <v>-5</v>
      </c>
      <c r="B3" s="1">
        <f t="shared" ref="B3:B9" si="1">((B$1)^2)/($B$12^2) - (($A3)^2)/($B$13^2)</f>
        <v>2.25</v>
      </c>
      <c r="C3" s="1">
        <f t="shared" si="0"/>
        <v>0</v>
      </c>
      <c r="D3" s="1">
        <f t="shared" si="0"/>
        <v>-1.75</v>
      </c>
      <c r="E3" s="1">
        <f t="shared" si="0"/>
        <v>-3</v>
      </c>
      <c r="F3" s="1">
        <f t="shared" si="0"/>
        <v>-3.75</v>
      </c>
      <c r="G3" s="1">
        <f t="shared" si="0"/>
        <v>-4</v>
      </c>
      <c r="H3" s="1">
        <f t="shared" si="0"/>
        <v>-3.75</v>
      </c>
      <c r="I3" s="1">
        <f t="shared" si="0"/>
        <v>-3</v>
      </c>
      <c r="J3" s="1">
        <f t="shared" si="0"/>
        <v>-1.75</v>
      </c>
      <c r="K3" s="1">
        <f t="shared" si="0"/>
        <v>0</v>
      </c>
      <c r="L3" s="1">
        <f t="shared" si="0"/>
        <v>2.25</v>
      </c>
    </row>
    <row r="4" spans="1:12" x14ac:dyDescent="0.35">
      <c r="A4" s="11">
        <v>-3</v>
      </c>
      <c r="B4" s="1">
        <f t="shared" si="1"/>
        <v>4.8100000000000005</v>
      </c>
      <c r="C4" s="1">
        <f t="shared" si="0"/>
        <v>2.56</v>
      </c>
      <c r="D4" s="1">
        <f t="shared" si="0"/>
        <v>0.81</v>
      </c>
      <c r="E4" s="1">
        <f t="shared" si="0"/>
        <v>-0.43999999999999995</v>
      </c>
      <c r="F4" s="1">
        <f t="shared" si="0"/>
        <v>-1.19</v>
      </c>
      <c r="G4" s="1">
        <f t="shared" si="0"/>
        <v>-1.44</v>
      </c>
      <c r="H4" s="1">
        <f t="shared" si="0"/>
        <v>-1.19</v>
      </c>
      <c r="I4" s="1">
        <f t="shared" si="0"/>
        <v>-0.43999999999999995</v>
      </c>
      <c r="J4" s="1">
        <f t="shared" si="0"/>
        <v>0.81</v>
      </c>
      <c r="K4" s="1">
        <f t="shared" si="0"/>
        <v>2.56</v>
      </c>
      <c r="L4" s="1">
        <f t="shared" si="0"/>
        <v>4.8100000000000005</v>
      </c>
    </row>
    <row r="5" spans="1:12" x14ac:dyDescent="0.35">
      <c r="A5" s="11">
        <v>-1</v>
      </c>
      <c r="B5" s="1">
        <f t="shared" si="1"/>
        <v>6.09</v>
      </c>
      <c r="C5" s="1">
        <f t="shared" si="0"/>
        <v>3.84</v>
      </c>
      <c r="D5" s="1">
        <f t="shared" si="0"/>
        <v>2.09</v>
      </c>
      <c r="E5" s="1">
        <f t="shared" si="0"/>
        <v>0.84</v>
      </c>
      <c r="F5" s="1">
        <f t="shared" si="0"/>
        <v>0.09</v>
      </c>
      <c r="G5" s="1">
        <f t="shared" si="0"/>
        <v>-0.16</v>
      </c>
      <c r="H5" s="1">
        <f t="shared" si="0"/>
        <v>0.09</v>
      </c>
      <c r="I5" s="1">
        <f t="shared" si="0"/>
        <v>0.84</v>
      </c>
      <c r="J5" s="1">
        <f t="shared" si="0"/>
        <v>2.09</v>
      </c>
      <c r="K5" s="1">
        <f t="shared" si="0"/>
        <v>3.84</v>
      </c>
      <c r="L5" s="1">
        <f t="shared" si="0"/>
        <v>6.09</v>
      </c>
    </row>
    <row r="6" spans="1:12" x14ac:dyDescent="0.35">
      <c r="A6" s="11">
        <v>1</v>
      </c>
      <c r="B6" s="1">
        <f t="shared" si="1"/>
        <v>6.09</v>
      </c>
      <c r="C6" s="1">
        <f t="shared" si="0"/>
        <v>3.84</v>
      </c>
      <c r="D6" s="1">
        <f t="shared" si="0"/>
        <v>2.09</v>
      </c>
      <c r="E6" s="1">
        <f t="shared" si="0"/>
        <v>0.84</v>
      </c>
      <c r="F6" s="1">
        <f t="shared" si="0"/>
        <v>0.09</v>
      </c>
      <c r="G6" s="1">
        <f t="shared" si="0"/>
        <v>-0.16</v>
      </c>
      <c r="H6" s="1">
        <f t="shared" si="0"/>
        <v>0.09</v>
      </c>
      <c r="I6" s="1">
        <f t="shared" si="0"/>
        <v>0.84</v>
      </c>
      <c r="J6" s="1">
        <f t="shared" si="0"/>
        <v>2.09</v>
      </c>
      <c r="K6" s="1">
        <f t="shared" si="0"/>
        <v>3.84</v>
      </c>
      <c r="L6" s="1">
        <f t="shared" si="0"/>
        <v>6.09</v>
      </c>
    </row>
    <row r="7" spans="1:12" x14ac:dyDescent="0.35">
      <c r="A7" s="11">
        <v>3</v>
      </c>
      <c r="B7" s="1">
        <f t="shared" si="1"/>
        <v>4.8100000000000005</v>
      </c>
      <c r="C7" s="1">
        <f t="shared" si="0"/>
        <v>2.56</v>
      </c>
      <c r="D7" s="1">
        <f t="shared" si="0"/>
        <v>0.81</v>
      </c>
      <c r="E7" s="1">
        <f t="shared" si="0"/>
        <v>-0.43999999999999995</v>
      </c>
      <c r="F7" s="1">
        <f t="shared" si="0"/>
        <v>-1.19</v>
      </c>
      <c r="G7" s="1">
        <f t="shared" si="0"/>
        <v>-1.44</v>
      </c>
      <c r="H7" s="1">
        <f t="shared" si="0"/>
        <v>-1.19</v>
      </c>
      <c r="I7" s="1">
        <f t="shared" si="0"/>
        <v>-0.43999999999999995</v>
      </c>
      <c r="J7" s="1">
        <f t="shared" si="0"/>
        <v>0.81</v>
      </c>
      <c r="K7" s="1">
        <f t="shared" si="0"/>
        <v>2.56</v>
      </c>
      <c r="L7" s="1">
        <f t="shared" si="0"/>
        <v>4.8100000000000005</v>
      </c>
    </row>
    <row r="8" spans="1:12" x14ac:dyDescent="0.35">
      <c r="A8" s="11">
        <v>5</v>
      </c>
      <c r="B8" s="1">
        <f t="shared" si="1"/>
        <v>2.25</v>
      </c>
      <c r="C8" s="1">
        <f t="shared" si="0"/>
        <v>0</v>
      </c>
      <c r="D8" s="1">
        <f t="shared" si="0"/>
        <v>-1.75</v>
      </c>
      <c r="E8" s="1">
        <f t="shared" si="0"/>
        <v>-3</v>
      </c>
      <c r="F8" s="1">
        <f t="shared" si="0"/>
        <v>-3.75</v>
      </c>
      <c r="G8" s="1">
        <f t="shared" si="0"/>
        <v>-4</v>
      </c>
      <c r="H8" s="1">
        <f t="shared" si="0"/>
        <v>-3.75</v>
      </c>
      <c r="I8" s="1">
        <f t="shared" si="0"/>
        <v>-3</v>
      </c>
      <c r="J8" s="1">
        <f t="shared" si="0"/>
        <v>-1.75</v>
      </c>
      <c r="K8" s="1">
        <f t="shared" si="0"/>
        <v>0</v>
      </c>
      <c r="L8" s="1">
        <f t="shared" si="0"/>
        <v>2.25</v>
      </c>
    </row>
    <row r="9" spans="1:12" x14ac:dyDescent="0.35">
      <c r="A9" s="11">
        <v>7</v>
      </c>
      <c r="B9" s="1">
        <f t="shared" si="1"/>
        <v>-1.5899999999999999</v>
      </c>
      <c r="C9" s="1">
        <f t="shared" si="0"/>
        <v>-3.84</v>
      </c>
      <c r="D9" s="1">
        <f t="shared" si="0"/>
        <v>-5.59</v>
      </c>
      <c r="E9" s="1">
        <f t="shared" si="0"/>
        <v>-6.84</v>
      </c>
      <c r="F9" s="1">
        <f t="shared" si="0"/>
        <v>-7.59</v>
      </c>
      <c r="G9" s="1">
        <f t="shared" si="0"/>
        <v>-7.84</v>
      </c>
      <c r="H9" s="1">
        <f t="shared" si="0"/>
        <v>-7.59</v>
      </c>
      <c r="I9" s="1">
        <f t="shared" si="0"/>
        <v>-6.84</v>
      </c>
      <c r="J9" s="1">
        <f t="shared" si="0"/>
        <v>-5.59</v>
      </c>
      <c r="K9" s="1">
        <f t="shared" si="0"/>
        <v>-3.84</v>
      </c>
      <c r="L9" s="1">
        <f t="shared" si="0"/>
        <v>-1.5899999999999999</v>
      </c>
    </row>
    <row r="12" spans="1:12" x14ac:dyDescent="0.35">
      <c r="A12" s="4" t="s">
        <v>4</v>
      </c>
      <c r="B12" s="4">
        <v>4</v>
      </c>
    </row>
    <row r="13" spans="1:12" x14ac:dyDescent="0.35">
      <c r="A13" s="4" t="s">
        <v>1</v>
      </c>
      <c r="B13" s="4">
        <v>2.5</v>
      </c>
    </row>
  </sheetData>
  <pageMargins left="0.7" right="0.7" top="0.75" bottom="0.75" header="0.3" footer="0.3"/>
  <pageSetup paperSize="9" orientation="portrait" r:id="rId1"/>
  <headerFooter>
    <oddHeader>&amp;CСалимов Даниил Рамильевич.
22.07.2004. 2 группа, 2 подгруппа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 (1)</vt:lpstr>
      <vt:lpstr>Задание 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psm</dc:creator>
  <cp:lastModifiedBy>psm</cp:lastModifiedBy>
  <dcterms:created xsi:type="dcterms:W3CDTF">2015-06-05T18:19:34Z</dcterms:created>
  <dcterms:modified xsi:type="dcterms:W3CDTF">2022-09-16T11:44:18Z</dcterms:modified>
</cp:coreProperties>
</file>