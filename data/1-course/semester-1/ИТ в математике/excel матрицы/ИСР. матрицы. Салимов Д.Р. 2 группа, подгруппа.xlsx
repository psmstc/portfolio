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psm\Desktop\"/>
    </mc:Choice>
  </mc:AlternateContent>
  <xr:revisionPtr revIDLastSave="0" documentId="13_ncr:1_{B22CA951-B412-40BF-908B-DA7E18F4FC9A}" xr6:coauthVersionLast="45" xr6:coauthVersionMax="45" xr10:uidLastSave="{00000000-0000-0000-0000-000000000000}"/>
  <bookViews>
    <workbookView xWindow="-108" yWindow="-108" windowWidth="22140" windowHeight="13176" activeTab="5" xr2:uid="{00000000-000D-0000-FFFF-FFFF00000000}"/>
  </bookViews>
  <sheets>
    <sheet name="Задача 1" sheetId="1" r:id="rId1"/>
    <sheet name="Задача 2" sheetId="2" r:id="rId2"/>
    <sheet name="Задача 3" sheetId="3" r:id="rId3"/>
    <sheet name="Задача 4" sheetId="4" r:id="rId4"/>
    <sheet name="Задача 5" sheetId="5" r:id="rId5"/>
    <sheet name="Задача 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1" i="6" l="1" a="1"/>
  <c r="T11" i="6" s="1"/>
  <c r="M11" i="6" a="1"/>
  <c r="O11" i="6" s="1"/>
  <c r="H11" i="6" a="1"/>
  <c r="H11" i="6" s="1"/>
  <c r="D11" i="6" a="1"/>
  <c r="F11" i="6" s="1"/>
  <c r="A11" i="6" a="1"/>
  <c r="A11" i="6" s="1"/>
  <c r="A11" i="5"/>
  <c r="D11" i="5"/>
  <c r="H11" i="5"/>
  <c r="M11" i="5"/>
  <c r="S11" i="5"/>
  <c r="W11" i="4" a="1"/>
  <c r="Y11" i="4" s="1"/>
  <c r="Q11" i="4" a="1"/>
  <c r="Q11" i="4" s="1"/>
  <c r="L11" i="4" a="1"/>
  <c r="N11" i="4" s="1"/>
  <c r="G11" i="4" a="1"/>
  <c r="G11" i="4" s="1"/>
  <c r="A11" i="4" a="1"/>
  <c r="A11" i="4" s="1"/>
  <c r="U12" i="3" a="1"/>
  <c r="U14" i="3" s="1"/>
  <c r="P12" i="3" a="1"/>
  <c r="P12" i="3" s="1"/>
  <c r="K12" i="3"/>
  <c r="G12" i="3" a="1"/>
  <c r="G13" i="3" s="1"/>
  <c r="A12" i="3" a="1"/>
  <c r="C12" i="3" s="1"/>
  <c r="G8" i="2" a="1"/>
  <c r="H8" i="2" s="1"/>
  <c r="A8" i="2" a="1"/>
  <c r="C8" i="2" s="1"/>
  <c r="H2" i="2" a="1"/>
  <c r="K2" i="2" s="1"/>
  <c r="D2" i="2" a="1"/>
  <c r="F2" i="2" s="1"/>
  <c r="A2" i="2" a="1"/>
  <c r="B2" i="2" s="1"/>
  <c r="S15" i="6" l="1"/>
  <c r="U12" i="6"/>
  <c r="T16" i="6"/>
  <c r="X14" i="6"/>
  <c r="V13" i="6"/>
  <c r="T12" i="6"/>
  <c r="S16" i="6"/>
  <c r="W14" i="6"/>
  <c r="U13" i="6"/>
  <c r="S12" i="6"/>
  <c r="W13" i="6"/>
  <c r="V14" i="6"/>
  <c r="X11" i="6"/>
  <c r="U14" i="6"/>
  <c r="S13" i="6"/>
  <c r="X16" i="6"/>
  <c r="V15" i="6"/>
  <c r="T14" i="6"/>
  <c r="X12" i="6"/>
  <c r="V11" i="6"/>
  <c r="U16" i="6"/>
  <c r="S11" i="6"/>
  <c r="X15" i="6"/>
  <c r="T13" i="6"/>
  <c r="W15" i="6"/>
  <c r="W11" i="6"/>
  <c r="W16" i="6"/>
  <c r="U15" i="6"/>
  <c r="S14" i="6"/>
  <c r="W12" i="6"/>
  <c r="U11" i="6"/>
  <c r="V16" i="6"/>
  <c r="T15" i="6"/>
  <c r="X13" i="6"/>
  <c r="V12" i="6"/>
  <c r="Q12" i="6"/>
  <c r="Q15" i="6"/>
  <c r="P12" i="6"/>
  <c r="M14" i="6"/>
  <c r="O12" i="6"/>
  <c r="N12" i="6"/>
  <c r="M12" i="6"/>
  <c r="O13" i="6"/>
  <c r="Q14" i="6"/>
  <c r="N13" i="6"/>
  <c r="P11" i="6"/>
  <c r="O14" i="6"/>
  <c r="N11" i="6"/>
  <c r="N14" i="6"/>
  <c r="M11" i="6"/>
  <c r="P15" i="6"/>
  <c r="O15" i="6"/>
  <c r="Q13" i="6"/>
  <c r="N15" i="6"/>
  <c r="P13" i="6"/>
  <c r="M15" i="6"/>
  <c r="Q11" i="6"/>
  <c r="P14" i="6"/>
  <c r="M13" i="6"/>
  <c r="H13" i="6"/>
  <c r="K14" i="6"/>
  <c r="J14" i="6"/>
  <c r="H14" i="6"/>
  <c r="K13" i="6"/>
  <c r="K11" i="6"/>
  <c r="I13" i="6"/>
  <c r="K12" i="6"/>
  <c r="J12" i="6"/>
  <c r="I14" i="6"/>
  <c r="I12" i="6"/>
  <c r="H12" i="6"/>
  <c r="J13" i="6"/>
  <c r="J11" i="6"/>
  <c r="I11" i="6"/>
  <c r="E11" i="6"/>
  <c r="F13" i="6"/>
  <c r="D11" i="6"/>
  <c r="E13" i="6"/>
  <c r="D13" i="6"/>
  <c r="F12" i="6"/>
  <c r="E12" i="6"/>
  <c r="D12" i="6"/>
  <c r="B12" i="6"/>
  <c r="B11" i="6"/>
  <c r="A12" i="6"/>
  <c r="X11" i="4"/>
  <c r="AA11" i="4"/>
  <c r="Z11" i="4"/>
  <c r="W11" i="4"/>
  <c r="Q15" i="4"/>
  <c r="Q14" i="4"/>
  <c r="Q13" i="4"/>
  <c r="Q12" i="4"/>
  <c r="M11" i="4"/>
  <c r="N12" i="4"/>
  <c r="O11" i="4"/>
  <c r="L11" i="4"/>
  <c r="O12" i="4"/>
  <c r="M12" i="4"/>
  <c r="L12" i="4"/>
  <c r="G13" i="4"/>
  <c r="H13" i="4"/>
  <c r="H12" i="4"/>
  <c r="H14" i="4"/>
  <c r="G12" i="4"/>
  <c r="G14" i="4"/>
  <c r="H11" i="4"/>
  <c r="A14" i="4"/>
  <c r="E13" i="4"/>
  <c r="A12" i="4"/>
  <c r="A15" i="4"/>
  <c r="C13" i="4"/>
  <c r="E11" i="4"/>
  <c r="C15" i="4"/>
  <c r="D13" i="4"/>
  <c r="E14" i="4"/>
  <c r="B13" i="4"/>
  <c r="D11" i="4"/>
  <c r="D15" i="4"/>
  <c r="C12" i="4"/>
  <c r="B12" i="4"/>
  <c r="B15" i="4"/>
  <c r="D14" i="4"/>
  <c r="A13" i="4"/>
  <c r="C11" i="4"/>
  <c r="C14" i="4"/>
  <c r="E12" i="4"/>
  <c r="B11" i="4"/>
  <c r="E15" i="4"/>
  <c r="B14" i="4"/>
  <c r="D12" i="4"/>
  <c r="U15" i="3"/>
  <c r="U13" i="3"/>
  <c r="U12" i="3"/>
  <c r="U16" i="3"/>
  <c r="R13" i="3"/>
  <c r="R15" i="3"/>
  <c r="Q15" i="3"/>
  <c r="Q13" i="3"/>
  <c r="S13" i="3"/>
  <c r="P15" i="3"/>
  <c r="P13" i="3"/>
  <c r="S15" i="3"/>
  <c r="S14" i="3"/>
  <c r="S12" i="3"/>
  <c r="R14" i="3"/>
  <c r="R12" i="3"/>
  <c r="Q14" i="3"/>
  <c r="Q12" i="3"/>
  <c r="P14" i="3"/>
  <c r="H13" i="3"/>
  <c r="H12" i="3"/>
  <c r="G12" i="3"/>
  <c r="B12" i="3"/>
  <c r="E12" i="3"/>
  <c r="D12" i="3"/>
  <c r="A12" i="3"/>
  <c r="G12" i="2"/>
  <c r="I9" i="2"/>
  <c r="H13" i="2"/>
  <c r="J10" i="2"/>
  <c r="G13" i="2"/>
  <c r="I10" i="2"/>
  <c r="J11" i="2"/>
  <c r="L8" i="2"/>
  <c r="K12" i="2"/>
  <c r="G10" i="2"/>
  <c r="L13" i="2"/>
  <c r="J12" i="2"/>
  <c r="H11" i="2"/>
  <c r="L9" i="2"/>
  <c r="J8" i="2"/>
  <c r="I13" i="2"/>
  <c r="K10" i="2"/>
  <c r="G8" i="2"/>
  <c r="L11" i="2"/>
  <c r="H9" i="2"/>
  <c r="K11" i="2"/>
  <c r="G9" i="2"/>
  <c r="L12" i="2"/>
  <c r="H10" i="2"/>
  <c r="I11" i="2"/>
  <c r="K8" i="2"/>
  <c r="K13" i="2"/>
  <c r="I12" i="2"/>
  <c r="G11" i="2"/>
  <c r="K9" i="2"/>
  <c r="I8" i="2"/>
  <c r="J13" i="2"/>
  <c r="H12" i="2"/>
  <c r="L10" i="2"/>
  <c r="J9" i="2"/>
  <c r="B8" i="2"/>
  <c r="B11" i="2"/>
  <c r="A8" i="2"/>
  <c r="A11" i="2"/>
  <c r="C12" i="2"/>
  <c r="B9" i="2"/>
  <c r="B12" i="2"/>
  <c r="D10" i="2"/>
  <c r="C10" i="2"/>
  <c r="E8" i="2"/>
  <c r="E11" i="2"/>
  <c r="B10" i="2"/>
  <c r="D8" i="2"/>
  <c r="C11" i="2"/>
  <c r="E9" i="2"/>
  <c r="E12" i="2"/>
  <c r="D9" i="2"/>
  <c r="D12" i="2"/>
  <c r="C9" i="2"/>
  <c r="E10" i="2"/>
  <c r="A9" i="2"/>
  <c r="A12" i="2"/>
  <c r="D11" i="2"/>
  <c r="A10" i="2"/>
  <c r="J4" i="2"/>
  <c r="J2" i="2"/>
  <c r="I4" i="2"/>
  <c r="I2" i="2"/>
  <c r="H4" i="2"/>
  <c r="H2" i="2"/>
  <c r="K5" i="2"/>
  <c r="K3" i="2"/>
  <c r="J5" i="2"/>
  <c r="J3" i="2"/>
  <c r="I5" i="2"/>
  <c r="I3" i="2"/>
  <c r="H5" i="2"/>
  <c r="H3" i="2"/>
  <c r="K4" i="2"/>
  <c r="E2" i="2"/>
  <c r="F4" i="2"/>
  <c r="D2" i="2"/>
  <c r="E4" i="2"/>
  <c r="D4" i="2"/>
  <c r="F3" i="2"/>
  <c r="E3" i="2"/>
  <c r="D3" i="2"/>
  <c r="B3" i="2"/>
  <c r="A3" i="2"/>
  <c r="A2" i="2"/>
  <c r="U24" i="1" l="1"/>
  <c r="V24" i="1"/>
  <c r="W24" i="1"/>
  <c r="U25" i="1"/>
  <c r="V25" i="1"/>
  <c r="W25" i="1"/>
  <c r="V23" i="1"/>
  <c r="W23" i="1"/>
  <c r="P24" i="1"/>
  <c r="Q24" i="1"/>
  <c r="R24" i="1"/>
  <c r="P25" i="1"/>
  <c r="Q25" i="1"/>
  <c r="R25" i="1"/>
  <c r="Q23" i="1"/>
  <c r="R23" i="1"/>
  <c r="P23" i="1"/>
  <c r="U23" i="1"/>
  <c r="K24" i="1"/>
  <c r="L24" i="1"/>
  <c r="M24" i="1"/>
  <c r="N24" i="1"/>
  <c r="K25" i="1"/>
  <c r="L25" i="1"/>
  <c r="M25" i="1"/>
  <c r="N25" i="1"/>
  <c r="K26" i="1"/>
  <c r="L26" i="1"/>
  <c r="M26" i="1"/>
  <c r="N26" i="1"/>
  <c r="L23" i="1"/>
  <c r="M23" i="1"/>
  <c r="N23" i="1"/>
  <c r="K23" i="1"/>
  <c r="A24" i="1"/>
  <c r="B24" i="1"/>
  <c r="C24" i="1"/>
  <c r="D24" i="1"/>
  <c r="B23" i="1"/>
  <c r="C23" i="1"/>
  <c r="D23" i="1"/>
  <c r="A23" i="1"/>
  <c r="F24" i="1"/>
  <c r="G24" i="1"/>
  <c r="F25" i="1"/>
  <c r="G25" i="1"/>
  <c r="F26" i="1"/>
  <c r="G26" i="1"/>
  <c r="G23" i="1"/>
  <c r="F23" i="1"/>
  <c r="V17" i="1"/>
  <c r="W17" i="1"/>
  <c r="V18" i="1"/>
  <c r="W18" i="1"/>
  <c r="V19" i="1"/>
  <c r="W19" i="1"/>
  <c r="U18" i="1"/>
  <c r="U19" i="1"/>
  <c r="U17" i="1"/>
  <c r="P18" i="1"/>
  <c r="Q18" i="1"/>
  <c r="R18" i="1"/>
  <c r="P19" i="1"/>
  <c r="Q19" i="1"/>
  <c r="R19" i="1"/>
  <c r="Q17" i="1"/>
  <c r="R17" i="1"/>
  <c r="P17" i="1"/>
  <c r="K17" i="1"/>
  <c r="K18" i="1"/>
  <c r="L18" i="1"/>
  <c r="M18" i="1"/>
  <c r="K19" i="1"/>
  <c r="L19" i="1"/>
  <c r="M19" i="1"/>
  <c r="L17" i="1"/>
  <c r="M17" i="1"/>
  <c r="F18" i="1"/>
  <c r="G18" i="1"/>
  <c r="H18" i="1"/>
  <c r="F19" i="1"/>
  <c r="G19" i="1"/>
  <c r="H19" i="1"/>
  <c r="G17" i="1"/>
  <c r="H17" i="1"/>
  <c r="F17" i="1"/>
  <c r="A18" i="1"/>
  <c r="B18" i="1"/>
  <c r="C18" i="1"/>
  <c r="A19" i="1"/>
  <c r="B19" i="1"/>
  <c r="C19" i="1"/>
  <c r="B17" i="1"/>
  <c r="C17" i="1"/>
  <c r="A17" i="1"/>
  <c r="U11" i="1"/>
  <c r="P11" i="1"/>
  <c r="Q11" i="1"/>
  <c r="V11" i="1" s="1"/>
  <c r="R11" i="1"/>
  <c r="W11" i="1" s="1"/>
  <c r="P12" i="1"/>
  <c r="U12" i="1" s="1"/>
  <c r="Q12" i="1"/>
  <c r="V12" i="1" s="1"/>
  <c r="R12" i="1"/>
  <c r="W12" i="1" s="1"/>
  <c r="Q10" i="1"/>
  <c r="V10" i="1" s="1"/>
  <c r="R10" i="1"/>
  <c r="W10" i="1" s="1"/>
  <c r="P10" i="1"/>
  <c r="U10" i="1" s="1"/>
  <c r="L11" i="1"/>
  <c r="K11" i="1"/>
  <c r="M11" i="1"/>
  <c r="K12" i="1"/>
  <c r="L12" i="1"/>
  <c r="M12" i="1"/>
  <c r="L10" i="1"/>
  <c r="M10" i="1"/>
  <c r="K10" i="1"/>
  <c r="F11" i="1"/>
  <c r="G11" i="1"/>
  <c r="H11" i="1"/>
  <c r="F12" i="1"/>
  <c r="G12" i="1"/>
  <c r="H12" i="1"/>
  <c r="G10" i="1"/>
  <c r="H10" i="1"/>
  <c r="F10" i="1"/>
  <c r="B10" i="1"/>
  <c r="A10" i="1"/>
  <c r="A11" i="1"/>
  <c r="B11" i="1"/>
  <c r="C11" i="1"/>
  <c r="A12" i="1"/>
  <c r="B12" i="1"/>
  <c r="C12" i="1"/>
  <c r="C10" i="1"/>
</calcChain>
</file>

<file path=xl/sharedStrings.xml><?xml version="1.0" encoding="utf-8"?>
<sst xmlns="http://schemas.openxmlformats.org/spreadsheetml/2006/main" count="56" uniqueCount="35">
  <si>
    <t>Матрица A</t>
  </si>
  <si>
    <t>Матрица B</t>
  </si>
  <si>
    <t>Матрица C</t>
  </si>
  <si>
    <t>Матрица D</t>
  </si>
  <si>
    <t>Матрица E</t>
  </si>
  <si>
    <t>Матрица Q = A + B</t>
  </si>
  <si>
    <t>Матрица W = Q + A</t>
  </si>
  <si>
    <t>Матрица E = B + W</t>
  </si>
  <si>
    <t>Матрица F</t>
  </si>
  <si>
    <r>
      <rPr>
        <b/>
        <sz val="16"/>
        <color theme="1"/>
        <rFont val="Calibri"/>
        <family val="2"/>
        <charset val="204"/>
        <scheme val="minor"/>
      </rPr>
      <t>Матрица R</t>
    </r>
    <r>
      <rPr>
        <sz val="16"/>
        <color theme="1"/>
        <rFont val="Calibri"/>
        <family val="2"/>
        <charset val="204"/>
        <scheme val="minor"/>
      </rPr>
      <t xml:space="preserve"> = W + F</t>
    </r>
  </si>
  <si>
    <t>Матрица T = R + A</t>
  </si>
  <si>
    <t>Матрица U = F - T</t>
  </si>
  <si>
    <t>Матрица = U - B</t>
  </si>
  <si>
    <t>Матрица I = R - F</t>
  </si>
  <si>
    <t>Матрица O = Q - T</t>
  </si>
  <si>
    <t>Матрица P = U - O</t>
  </si>
  <si>
    <t>Матрица S = C * a</t>
  </si>
  <si>
    <t>a</t>
  </si>
  <si>
    <t>b</t>
  </si>
  <si>
    <t>c</t>
  </si>
  <si>
    <t>d</t>
  </si>
  <si>
    <t>e</t>
  </si>
  <si>
    <t>Матрица G = D * b</t>
  </si>
  <si>
    <t>Матрица H = E * c</t>
  </si>
  <si>
    <t>Матрица J = A * d</t>
  </si>
  <si>
    <t>Матрица K = B * e</t>
  </si>
  <si>
    <t>Матрица Q</t>
  </si>
  <si>
    <t>Матрица W</t>
  </si>
  <si>
    <t>Матрица R</t>
  </si>
  <si>
    <t>Матрица T</t>
  </si>
  <si>
    <t>Матрица A = R*Q</t>
  </si>
  <si>
    <t>Матрица S = W * E</t>
  </si>
  <si>
    <t>Матрица D = R * T</t>
  </si>
  <si>
    <t>Матрица F = T * R</t>
  </si>
  <si>
    <t>матрица G = Q *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</si>
</sst>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E+00"/>
  </numFmts>
  <fonts count="6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5"/>
      <color theme="1"/>
      <name val="Calibri"/>
      <family val="2"/>
      <scheme val="minor"/>
    </font>
    <font>
      <sz val="17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3" fillId="0" borderId="0" xfId="0" applyNumberFormat="1" applyFont="1"/>
    <xf numFmtId="2" fontId="1" fillId="3" borderId="0" xfId="0" applyNumberFormat="1" applyFont="1" applyFill="1"/>
    <xf numFmtId="0" fontId="4" fillId="0" borderId="0" xfId="0" applyFont="1"/>
    <xf numFmtId="0" fontId="1" fillId="2" borderId="0" xfId="0" applyFont="1" applyFill="1"/>
    <xf numFmtId="0" fontId="1" fillId="4" borderId="0" xfId="0" applyFont="1" applyFill="1"/>
    <xf numFmtId="168" fontId="1" fillId="4" borderId="0" xfId="0" applyNumberFormat="1" applyFont="1" applyFill="1"/>
    <xf numFmtId="0" fontId="5" fillId="0" borderId="0" xfId="0" applyFont="1"/>
    <xf numFmtId="2" fontId="5" fillId="0" borderId="0" xfId="0" applyNumberFormat="1" applyFont="1"/>
    <xf numFmtId="2" fontId="5" fillId="5" borderId="0" xfId="0" applyNumberFormat="1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6"/>
  <sheetViews>
    <sheetView view="pageLayout" zoomScaleNormal="72" workbookViewId="0">
      <selection activeCell="J5" sqref="J5"/>
    </sheetView>
  </sheetViews>
  <sheetFormatPr defaultColWidth="5.77734375" defaultRowHeight="21" x14ac:dyDescent="0.4"/>
  <cols>
    <col min="1" max="3" width="9.109375" style="2" bestFit="1" customWidth="1"/>
    <col min="4" max="4" width="6.6640625" style="2" bestFit="1" customWidth="1"/>
    <col min="5" max="5" width="7.5546875" style="2" bestFit="1" customWidth="1"/>
    <col min="6" max="8" width="9.109375" style="2" bestFit="1" customWidth="1"/>
    <col min="9" max="10" width="8.21875" style="2" bestFit="1" customWidth="1"/>
    <col min="11" max="11" width="10.44140625" style="2" customWidth="1"/>
    <col min="12" max="13" width="8.21875" style="2" bestFit="1" customWidth="1"/>
    <col min="14" max="14" width="7.44140625" style="2" customWidth="1"/>
    <col min="15" max="15" width="6.6640625" style="2" bestFit="1" customWidth="1"/>
    <col min="16" max="18" width="9.109375" style="2" bestFit="1" customWidth="1"/>
    <col min="19" max="20" width="7.5546875" style="2" bestFit="1" customWidth="1"/>
    <col min="21" max="23" width="9.44140625" style="2" customWidth="1"/>
    <col min="24" max="24" width="9.109375" style="2" bestFit="1" customWidth="1"/>
    <col min="25" max="26" width="5.77734375" style="2"/>
    <col min="27" max="27" width="8.21875" style="2" bestFit="1" customWidth="1"/>
    <col min="28" max="16384" width="5.77734375" style="2"/>
  </cols>
  <sheetData>
    <row r="1" spans="1:27" x14ac:dyDescent="0.4">
      <c r="A1" s="2" t="s">
        <v>0</v>
      </c>
      <c r="E1" s="2" t="s">
        <v>1</v>
      </c>
      <c r="I1" s="2" t="s">
        <v>2</v>
      </c>
      <c r="N1" s="2" t="s">
        <v>3</v>
      </c>
      <c r="Q1" s="2" t="s">
        <v>4</v>
      </c>
      <c r="V1" s="2" t="s">
        <v>8</v>
      </c>
    </row>
    <row r="3" spans="1:27" x14ac:dyDescent="0.4">
      <c r="A3" s="2">
        <v>1</v>
      </c>
      <c r="B3" s="2">
        <v>2</v>
      </c>
      <c r="C3" s="2">
        <v>3</v>
      </c>
      <c r="E3" s="2">
        <v>1</v>
      </c>
      <c r="F3" s="2">
        <v>0</v>
      </c>
      <c r="G3" s="2">
        <v>-1</v>
      </c>
      <c r="I3" s="2">
        <v>23</v>
      </c>
      <c r="J3" s="2">
        <v>17</v>
      </c>
      <c r="K3" s="2">
        <v>0.1</v>
      </c>
      <c r="L3" s="2">
        <v>0.2</v>
      </c>
      <c r="N3" s="2">
        <v>5</v>
      </c>
      <c r="O3" s="2">
        <v>3</v>
      </c>
      <c r="Q3" s="2">
        <v>4</v>
      </c>
      <c r="R3" s="2">
        <v>0</v>
      </c>
      <c r="S3" s="2">
        <v>4</v>
      </c>
      <c r="T3" s="2">
        <v>4</v>
      </c>
      <c r="V3" s="2">
        <v>12</v>
      </c>
      <c r="W3" s="2">
        <v>77</v>
      </c>
      <c r="X3" s="2">
        <v>8</v>
      </c>
      <c r="Z3" s="4" t="s">
        <v>17</v>
      </c>
      <c r="AA3" s="4">
        <v>1.5</v>
      </c>
    </row>
    <row r="4" spans="1:27" x14ac:dyDescent="0.4">
      <c r="A4" s="2">
        <v>4</v>
      </c>
      <c r="B4" s="2">
        <v>5</v>
      </c>
      <c r="C4" s="2">
        <v>6</v>
      </c>
      <c r="E4" s="2">
        <v>-2</v>
      </c>
      <c r="F4" s="2">
        <v>-3</v>
      </c>
      <c r="G4" s="2">
        <v>-4</v>
      </c>
      <c r="I4" s="2">
        <v>2</v>
      </c>
      <c r="J4" s="2">
        <v>11</v>
      </c>
      <c r="K4" s="2">
        <v>7</v>
      </c>
      <c r="L4" s="2">
        <v>5</v>
      </c>
      <c r="N4" s="2">
        <v>5</v>
      </c>
      <c r="O4" s="2">
        <v>0</v>
      </c>
      <c r="Q4" s="2">
        <v>7</v>
      </c>
      <c r="R4" s="2">
        <v>8</v>
      </c>
      <c r="S4" s="2">
        <v>3</v>
      </c>
      <c r="T4" s="2">
        <v>4</v>
      </c>
      <c r="V4" s="2">
        <v>67</v>
      </c>
      <c r="W4" s="2">
        <v>5</v>
      </c>
      <c r="X4" s="2">
        <v>-11</v>
      </c>
      <c r="Z4" s="4" t="s">
        <v>18</v>
      </c>
      <c r="AA4" s="4">
        <v>2</v>
      </c>
    </row>
    <row r="5" spans="1:27" x14ac:dyDescent="0.4">
      <c r="A5" s="2">
        <v>7</v>
      </c>
      <c r="B5" s="2">
        <v>8</v>
      </c>
      <c r="C5" s="2">
        <v>9</v>
      </c>
      <c r="E5" s="2">
        <v>-5</v>
      </c>
      <c r="F5" s="2">
        <v>-6</v>
      </c>
      <c r="G5" s="2">
        <v>-7</v>
      </c>
      <c r="N5" s="2">
        <v>6</v>
      </c>
      <c r="O5" s="2">
        <v>1</v>
      </c>
      <c r="Q5" s="2">
        <v>99</v>
      </c>
      <c r="R5" s="2">
        <v>7</v>
      </c>
      <c r="S5" s="2">
        <v>-3</v>
      </c>
      <c r="T5" s="2">
        <v>-6</v>
      </c>
      <c r="V5" s="2">
        <v>14</v>
      </c>
      <c r="W5" s="2">
        <v>0</v>
      </c>
      <c r="X5" s="2">
        <v>0</v>
      </c>
      <c r="Z5" s="4" t="s">
        <v>19</v>
      </c>
      <c r="AA5" s="4">
        <v>-1</v>
      </c>
    </row>
    <row r="6" spans="1:27" x14ac:dyDescent="0.4">
      <c r="N6" s="2">
        <v>7</v>
      </c>
      <c r="O6" s="2">
        <v>9</v>
      </c>
      <c r="Q6" s="2">
        <v>-19</v>
      </c>
      <c r="R6" s="2">
        <v>-1</v>
      </c>
      <c r="S6" s="2">
        <v>-2</v>
      </c>
      <c r="T6" s="2">
        <v>-3</v>
      </c>
      <c r="Z6" s="4" t="s">
        <v>20</v>
      </c>
      <c r="AA6" s="4">
        <v>9</v>
      </c>
    </row>
    <row r="7" spans="1:27" x14ac:dyDescent="0.4">
      <c r="Z7" s="4" t="s">
        <v>21</v>
      </c>
      <c r="AA7" s="4">
        <v>11</v>
      </c>
    </row>
    <row r="8" spans="1:27" x14ac:dyDescent="0.4">
      <c r="A8" s="2" t="s">
        <v>5</v>
      </c>
      <c r="F8" s="2" t="s">
        <v>6</v>
      </c>
      <c r="K8" s="2" t="s">
        <v>7</v>
      </c>
      <c r="P8" s="3" t="s">
        <v>9</v>
      </c>
      <c r="U8" s="2" t="s">
        <v>10</v>
      </c>
    </row>
    <row r="10" spans="1:27" x14ac:dyDescent="0.4">
      <c r="A10" s="2">
        <f>A3+E3</f>
        <v>2</v>
      </c>
      <c r="B10" s="2">
        <f>B3+F3</f>
        <v>2</v>
      </c>
      <c r="C10" s="2">
        <f t="shared" ref="B10:C10" si="0">C3+G3</f>
        <v>2</v>
      </c>
      <c r="F10" s="2">
        <f>A10+A3</f>
        <v>3</v>
      </c>
      <c r="G10" s="2">
        <f>B10+B3</f>
        <v>4</v>
      </c>
      <c r="H10" s="2">
        <f>C10+C3</f>
        <v>5</v>
      </c>
      <c r="K10" s="2">
        <f>E3+F10</f>
        <v>4</v>
      </c>
      <c r="L10" s="2">
        <f>F3+G10</f>
        <v>4</v>
      </c>
      <c r="M10" s="2">
        <f>G3+H10</f>
        <v>4</v>
      </c>
      <c r="P10" s="2">
        <f>F10+V3</f>
        <v>15</v>
      </c>
      <c r="Q10" s="2">
        <f>G10+W3</f>
        <v>81</v>
      </c>
      <c r="R10" s="2">
        <f>H10+X3</f>
        <v>13</v>
      </c>
      <c r="U10" s="2">
        <f>P10+A3</f>
        <v>16</v>
      </c>
      <c r="V10" s="2">
        <f>Q10+B3</f>
        <v>83</v>
      </c>
      <c r="W10" s="2">
        <f>R10+C3</f>
        <v>16</v>
      </c>
    </row>
    <row r="11" spans="1:27" x14ac:dyDescent="0.4">
      <c r="A11" s="2">
        <f t="shared" ref="A11:A12" si="1">A4+E4</f>
        <v>2</v>
      </c>
      <c r="B11" s="2">
        <f t="shared" ref="B11:B12" si="2">B4+F4</f>
        <v>2</v>
      </c>
      <c r="C11" s="2">
        <f t="shared" ref="C11:C12" si="3">C4+G4</f>
        <v>2</v>
      </c>
      <c r="F11" s="2">
        <f>A11+A4</f>
        <v>6</v>
      </c>
      <c r="G11" s="2">
        <f>B11+B4</f>
        <v>7</v>
      </c>
      <c r="H11" s="2">
        <f>C11+C4</f>
        <v>8</v>
      </c>
      <c r="K11" s="2">
        <f>E4+F11</f>
        <v>4</v>
      </c>
      <c r="L11" s="2">
        <f>F4+G11</f>
        <v>4</v>
      </c>
      <c r="M11" s="2">
        <f>G4+H11</f>
        <v>4</v>
      </c>
      <c r="P11" s="2">
        <f>F11+V4</f>
        <v>73</v>
      </c>
      <c r="Q11" s="2">
        <f>G11+W4</f>
        <v>12</v>
      </c>
      <c r="R11" s="2">
        <f>H11+X4</f>
        <v>-3</v>
      </c>
      <c r="U11" s="2">
        <f>P11+A4</f>
        <v>77</v>
      </c>
      <c r="V11" s="2">
        <f>Q11+B4</f>
        <v>17</v>
      </c>
      <c r="W11" s="2">
        <f>R11+C4</f>
        <v>3</v>
      </c>
    </row>
    <row r="12" spans="1:27" x14ac:dyDescent="0.4">
      <c r="A12" s="2">
        <f t="shared" si="1"/>
        <v>2</v>
      </c>
      <c r="B12" s="2">
        <f t="shared" si="2"/>
        <v>2</v>
      </c>
      <c r="C12" s="2">
        <f t="shared" si="3"/>
        <v>2</v>
      </c>
      <c r="F12" s="2">
        <f>A12+A5</f>
        <v>9</v>
      </c>
      <c r="G12" s="2">
        <f>B12+B5</f>
        <v>10</v>
      </c>
      <c r="H12" s="2">
        <f>C12+C5</f>
        <v>11</v>
      </c>
      <c r="K12" s="2">
        <f>E5+F12</f>
        <v>4</v>
      </c>
      <c r="L12" s="2">
        <f>F5+G12</f>
        <v>4</v>
      </c>
      <c r="M12" s="2">
        <f>G5+H12</f>
        <v>4</v>
      </c>
      <c r="P12" s="2">
        <f>F12+V5</f>
        <v>23</v>
      </c>
      <c r="Q12" s="2">
        <f>G12+W5</f>
        <v>10</v>
      </c>
      <c r="R12" s="2">
        <f>H12+X5</f>
        <v>11</v>
      </c>
      <c r="U12" s="2">
        <f>P12+A5</f>
        <v>30</v>
      </c>
      <c r="V12" s="2">
        <f>Q12+B5</f>
        <v>18</v>
      </c>
      <c r="W12" s="2">
        <f>R12+C5</f>
        <v>20</v>
      </c>
    </row>
    <row r="15" spans="1:27" x14ac:dyDescent="0.4">
      <c r="A15" s="2" t="s">
        <v>11</v>
      </c>
      <c r="F15" s="2" t="s">
        <v>12</v>
      </c>
      <c r="K15" s="2" t="s">
        <v>13</v>
      </c>
      <c r="P15" s="2" t="s">
        <v>14</v>
      </c>
      <c r="U15" s="2" t="s">
        <v>15</v>
      </c>
    </row>
    <row r="17" spans="1:23" x14ac:dyDescent="0.4">
      <c r="A17" s="2">
        <f>V3-U10</f>
        <v>-4</v>
      </c>
      <c r="B17" s="2">
        <f t="shared" ref="B17:C17" si="4">W3-V10</f>
        <v>-6</v>
      </c>
      <c r="C17" s="2">
        <f t="shared" si="4"/>
        <v>-8</v>
      </c>
      <c r="F17" s="2">
        <f>A17-E3</f>
        <v>-5</v>
      </c>
      <c r="G17" s="2">
        <f t="shared" ref="G17:H17" si="5">B17-F3</f>
        <v>-6</v>
      </c>
      <c r="H17" s="2">
        <f t="shared" si="5"/>
        <v>-7</v>
      </c>
      <c r="K17" s="2">
        <f>P10-V3</f>
        <v>3</v>
      </c>
      <c r="L17" s="2">
        <f t="shared" ref="L17:M17" si="6">Q10-W3</f>
        <v>4</v>
      </c>
      <c r="M17" s="2">
        <f t="shared" si="6"/>
        <v>5</v>
      </c>
      <c r="P17" s="2">
        <f>A10-U10</f>
        <v>-14</v>
      </c>
      <c r="Q17" s="2">
        <f t="shared" ref="Q17:R17" si="7">B10-V10</f>
        <v>-81</v>
      </c>
      <c r="R17" s="2">
        <f t="shared" si="7"/>
        <v>-14</v>
      </c>
      <c r="U17" s="2">
        <f>A17-P17</f>
        <v>10</v>
      </c>
      <c r="V17" s="2">
        <f t="shared" ref="V17:W19" si="8">B17-Q17</f>
        <v>75</v>
      </c>
      <c r="W17" s="2">
        <f t="shared" si="8"/>
        <v>6</v>
      </c>
    </row>
    <row r="18" spans="1:23" x14ac:dyDescent="0.4">
      <c r="A18" s="2">
        <f t="shared" ref="A18:A19" si="9">V4-U11</f>
        <v>-10</v>
      </c>
      <c r="B18" s="2">
        <f t="shared" ref="B18:B19" si="10">W4-V11</f>
        <v>-12</v>
      </c>
      <c r="C18" s="2">
        <f t="shared" ref="C18:C19" si="11">X4-W11</f>
        <v>-14</v>
      </c>
      <c r="F18" s="2">
        <f t="shared" ref="F18:F19" si="12">A18-E4</f>
        <v>-8</v>
      </c>
      <c r="G18" s="2">
        <f t="shared" ref="G18:G19" si="13">B18-F4</f>
        <v>-9</v>
      </c>
      <c r="H18" s="2">
        <f t="shared" ref="H18:H19" si="14">C18-G4</f>
        <v>-10</v>
      </c>
      <c r="K18" s="2">
        <f t="shared" ref="K18:K19" si="15">P11-V4</f>
        <v>6</v>
      </c>
      <c r="L18" s="2">
        <f t="shared" ref="L18:L19" si="16">Q11-W4</f>
        <v>7</v>
      </c>
      <c r="M18" s="2">
        <f t="shared" ref="M18:M19" si="17">R11-X4</f>
        <v>8</v>
      </c>
      <c r="P18" s="2">
        <f t="shared" ref="P18:P19" si="18">A11-U11</f>
        <v>-75</v>
      </c>
      <c r="Q18" s="2">
        <f t="shared" ref="Q18:Q19" si="19">B11-V11</f>
        <v>-15</v>
      </c>
      <c r="R18" s="2">
        <f t="shared" ref="R18:R19" si="20">C11-W11</f>
        <v>-1</v>
      </c>
      <c r="U18" s="2">
        <f t="shared" ref="U18:U19" si="21">A18-P18</f>
        <v>65</v>
      </c>
      <c r="V18" s="2">
        <f t="shared" si="8"/>
        <v>3</v>
      </c>
      <c r="W18" s="2">
        <f t="shared" si="8"/>
        <v>-13</v>
      </c>
    </row>
    <row r="19" spans="1:23" x14ac:dyDescent="0.4">
      <c r="A19" s="2">
        <f t="shared" si="9"/>
        <v>-16</v>
      </c>
      <c r="B19" s="2">
        <f t="shared" si="10"/>
        <v>-18</v>
      </c>
      <c r="C19" s="2">
        <f t="shared" si="11"/>
        <v>-20</v>
      </c>
      <c r="F19" s="2">
        <f t="shared" si="12"/>
        <v>-11</v>
      </c>
      <c r="G19" s="2">
        <f t="shared" si="13"/>
        <v>-12</v>
      </c>
      <c r="H19" s="2">
        <f t="shared" si="14"/>
        <v>-13</v>
      </c>
      <c r="K19" s="2">
        <f t="shared" si="15"/>
        <v>9</v>
      </c>
      <c r="L19" s="2">
        <f t="shared" si="16"/>
        <v>10</v>
      </c>
      <c r="M19" s="2">
        <f t="shared" si="17"/>
        <v>11</v>
      </c>
      <c r="P19" s="2">
        <f t="shared" si="18"/>
        <v>-28</v>
      </c>
      <c r="Q19" s="2">
        <f t="shared" si="19"/>
        <v>-16</v>
      </c>
      <c r="R19" s="2">
        <f t="shared" si="20"/>
        <v>-18</v>
      </c>
      <c r="U19" s="2">
        <f t="shared" si="21"/>
        <v>12</v>
      </c>
      <c r="V19" s="2">
        <f t="shared" si="8"/>
        <v>-2</v>
      </c>
      <c r="W19" s="2">
        <f t="shared" si="8"/>
        <v>-2</v>
      </c>
    </row>
    <row r="21" spans="1:23" x14ac:dyDescent="0.4">
      <c r="A21" s="2" t="s">
        <v>16</v>
      </c>
      <c r="F21" s="2" t="s">
        <v>22</v>
      </c>
      <c r="K21" s="2" t="s">
        <v>23</v>
      </c>
      <c r="P21" s="2" t="s">
        <v>24</v>
      </c>
      <c r="U21" s="2" t="s">
        <v>25</v>
      </c>
    </row>
    <row r="23" spans="1:23" x14ac:dyDescent="0.4">
      <c r="A23" s="2">
        <f>I3*$AA$3</f>
        <v>34.5</v>
      </c>
      <c r="B23" s="2">
        <f t="shared" ref="B23:D23" si="22">J3*$AA$3</f>
        <v>25.5</v>
      </c>
      <c r="C23" s="2">
        <f t="shared" si="22"/>
        <v>0.15000000000000002</v>
      </c>
      <c r="D23" s="2">
        <f t="shared" si="22"/>
        <v>0.30000000000000004</v>
      </c>
      <c r="F23" s="2">
        <f>N3*$AA$4</f>
        <v>10</v>
      </c>
      <c r="G23" s="2">
        <f>O3*$AA$4</f>
        <v>6</v>
      </c>
      <c r="K23" s="2">
        <f>Q3*$AA$5</f>
        <v>-4</v>
      </c>
      <c r="L23" s="2">
        <f t="shared" ref="L23:N23" si="23">R3*$AA$5</f>
        <v>0</v>
      </c>
      <c r="M23" s="2">
        <f t="shared" si="23"/>
        <v>-4</v>
      </c>
      <c r="N23" s="2">
        <f t="shared" si="23"/>
        <v>-4</v>
      </c>
      <c r="P23" s="2">
        <f>A3*$AA$6</f>
        <v>9</v>
      </c>
      <c r="Q23" s="2">
        <f t="shared" ref="Q23:R23" si="24">B3*$AA$6</f>
        <v>18</v>
      </c>
      <c r="R23" s="2">
        <f t="shared" si="24"/>
        <v>27</v>
      </c>
      <c r="U23" s="2">
        <f>E3*$AA$7</f>
        <v>11</v>
      </c>
      <c r="V23" s="2">
        <f t="shared" ref="V23:W23" si="25">F3*$AA$7</f>
        <v>0</v>
      </c>
      <c r="W23" s="2">
        <f t="shared" si="25"/>
        <v>-11</v>
      </c>
    </row>
    <row r="24" spans="1:23" x14ac:dyDescent="0.4">
      <c r="A24" s="2">
        <f>I4*$AA$3</f>
        <v>3</v>
      </c>
      <c r="B24" s="2">
        <f t="shared" ref="B24" si="26">J4*$AA$3</f>
        <v>16.5</v>
      </c>
      <c r="C24" s="2">
        <f t="shared" ref="C24" si="27">K4*$AA$3</f>
        <v>10.5</v>
      </c>
      <c r="D24" s="2">
        <f t="shared" ref="D24" si="28">L4*$AA$3</f>
        <v>7.5</v>
      </c>
      <c r="F24" s="2">
        <f t="shared" ref="F24:G24" si="29">N4*$AA$4</f>
        <v>10</v>
      </c>
      <c r="G24" s="2">
        <f t="shared" si="29"/>
        <v>0</v>
      </c>
      <c r="K24" s="2">
        <f t="shared" ref="K24:K26" si="30">Q4*$AA$5</f>
        <v>-7</v>
      </c>
      <c r="L24" s="2">
        <f t="shared" ref="L24:L26" si="31">R4*$AA$5</f>
        <v>-8</v>
      </c>
      <c r="M24" s="2">
        <f t="shared" ref="M24:M26" si="32">S4*$AA$5</f>
        <v>-3</v>
      </c>
      <c r="N24" s="2">
        <f t="shared" ref="N24:N26" si="33">T4*$AA$5</f>
        <v>-4</v>
      </c>
      <c r="P24" s="2">
        <f t="shared" ref="P24:P26" si="34">A4*$AA$6</f>
        <v>36</v>
      </c>
      <c r="Q24" s="2">
        <f t="shared" ref="Q24:Q26" si="35">B4*$AA$6</f>
        <v>45</v>
      </c>
      <c r="R24" s="2">
        <f t="shared" ref="R24:R26" si="36">C4*$AA$6</f>
        <v>54</v>
      </c>
      <c r="U24" s="2">
        <f t="shared" ref="U24:U25" si="37">E4*$AA$7</f>
        <v>-22</v>
      </c>
      <c r="V24" s="2">
        <f t="shared" ref="V24:V25" si="38">F4*$AA$7</f>
        <v>-33</v>
      </c>
      <c r="W24" s="2">
        <f t="shared" ref="W24:W25" si="39">G4*$AA$7</f>
        <v>-44</v>
      </c>
    </row>
    <row r="25" spans="1:23" x14ac:dyDescent="0.4">
      <c r="F25" s="2">
        <f t="shared" ref="F25:G25" si="40">N5*$AA$4</f>
        <v>12</v>
      </c>
      <c r="G25" s="2">
        <f t="shared" si="40"/>
        <v>2</v>
      </c>
      <c r="K25" s="2">
        <f t="shared" si="30"/>
        <v>-99</v>
      </c>
      <c r="L25" s="2">
        <f t="shared" si="31"/>
        <v>-7</v>
      </c>
      <c r="M25" s="2">
        <f t="shared" si="32"/>
        <v>3</v>
      </c>
      <c r="N25" s="2">
        <f t="shared" si="33"/>
        <v>6</v>
      </c>
      <c r="P25" s="2">
        <f t="shared" si="34"/>
        <v>63</v>
      </c>
      <c r="Q25" s="2">
        <f t="shared" si="35"/>
        <v>72</v>
      </c>
      <c r="R25" s="2">
        <f t="shared" si="36"/>
        <v>81</v>
      </c>
      <c r="U25" s="2">
        <f t="shared" si="37"/>
        <v>-55</v>
      </c>
      <c r="V25" s="2">
        <f t="shared" si="38"/>
        <v>-66</v>
      </c>
      <c r="W25" s="2">
        <f t="shared" si="39"/>
        <v>-77</v>
      </c>
    </row>
    <row r="26" spans="1:23" x14ac:dyDescent="0.4">
      <c r="F26" s="2">
        <f t="shared" ref="F26:G26" si="41">N6*$AA$4</f>
        <v>14</v>
      </c>
      <c r="G26" s="2">
        <f t="shared" si="41"/>
        <v>18</v>
      </c>
      <c r="K26" s="2">
        <f t="shared" si="30"/>
        <v>19</v>
      </c>
      <c r="L26" s="2">
        <f t="shared" si="31"/>
        <v>1</v>
      </c>
      <c r="M26" s="2">
        <f t="shared" si="32"/>
        <v>2</v>
      </c>
      <c r="N26" s="2">
        <f t="shared" si="33"/>
        <v>3</v>
      </c>
    </row>
  </sheetData>
  <conditionalFormatting sqref="A1:XFD1048576">
    <cfRule type="colorScale" priority="1">
      <colorScale>
        <cfvo type="num" val="0"/>
        <cfvo type="num" val="0"/>
        <color theme="8" tint="0.79998168889431442"/>
        <color theme="8" tint="0.79998168889431442"/>
      </colorScale>
    </cfRule>
  </conditionalFormatting>
  <pageMargins left="0.7" right="0.7" top="0.75" bottom="0.75" header="0.3" footer="0.3"/>
  <pageSetup paperSize="9" orientation="portrait" r:id="rId1"/>
  <headerFooter>
    <oddHeader>&amp;CСалимов Даниил Рамильевич 
2 группа, 2 подгруппа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3F3F7-3C53-49CF-AC51-88567FD080DA}">
  <dimension ref="A2:L13"/>
  <sheetViews>
    <sheetView view="pageLayout" zoomScaleNormal="100" workbookViewId="0">
      <selection activeCell="A2" sqref="A2:L13"/>
    </sheetView>
  </sheetViews>
  <sheetFormatPr defaultColWidth="7.21875" defaultRowHeight="19.8" x14ac:dyDescent="0.4"/>
  <cols>
    <col min="1" max="16384" width="7.21875" style="5"/>
  </cols>
  <sheetData>
    <row r="2" spans="1:12" x14ac:dyDescent="0.4">
      <c r="A2" s="5">
        <f t="array" ref="A2:B3">_xlfn.MUNIT(2)</f>
        <v>1</v>
      </c>
      <c r="B2" s="5">
        <v>0</v>
      </c>
      <c r="D2" s="5">
        <f t="array" ref="D2:F4">_xlfn.MUNIT(3)</f>
        <v>1</v>
      </c>
      <c r="E2" s="5">
        <v>0</v>
      </c>
      <c r="F2" s="5">
        <v>0</v>
      </c>
      <c r="H2" s="5">
        <f t="array" ref="H2:K5">_xlfn.MUNIT(4)</f>
        <v>1</v>
      </c>
      <c r="I2" s="5">
        <v>0</v>
      </c>
      <c r="J2" s="5">
        <v>0</v>
      </c>
      <c r="K2" s="5">
        <v>0</v>
      </c>
    </row>
    <row r="3" spans="1:12" x14ac:dyDescent="0.4">
      <c r="A3" s="5">
        <v>0</v>
      </c>
      <c r="B3" s="5">
        <v>1</v>
      </c>
      <c r="D3" s="5">
        <v>0</v>
      </c>
      <c r="E3" s="5">
        <v>1</v>
      </c>
      <c r="F3" s="5">
        <v>0</v>
      </c>
      <c r="H3" s="5">
        <v>0</v>
      </c>
      <c r="I3" s="5">
        <v>1</v>
      </c>
      <c r="J3" s="5">
        <v>0</v>
      </c>
      <c r="K3" s="5">
        <v>0</v>
      </c>
    </row>
    <row r="4" spans="1:12" x14ac:dyDescent="0.4">
      <c r="D4" s="5">
        <v>0</v>
      </c>
      <c r="E4" s="5">
        <v>0</v>
      </c>
      <c r="F4" s="5">
        <v>1</v>
      </c>
      <c r="H4" s="5">
        <v>0</v>
      </c>
      <c r="I4" s="5">
        <v>0</v>
      </c>
      <c r="J4" s="5">
        <v>1</v>
      </c>
      <c r="K4" s="5">
        <v>0</v>
      </c>
    </row>
    <row r="5" spans="1:12" x14ac:dyDescent="0.4">
      <c r="H5" s="5">
        <v>0</v>
      </c>
      <c r="I5" s="5">
        <v>0</v>
      </c>
      <c r="J5" s="5">
        <v>0</v>
      </c>
      <c r="K5" s="5">
        <v>1</v>
      </c>
    </row>
    <row r="8" spans="1:12" x14ac:dyDescent="0.4">
      <c r="A8" s="5">
        <f t="array" ref="A8:E12">_xlfn.MUNIT(5)</f>
        <v>1</v>
      </c>
      <c r="B8" s="5">
        <v>0</v>
      </c>
      <c r="C8" s="5">
        <v>0</v>
      </c>
      <c r="D8" s="5">
        <v>0</v>
      </c>
      <c r="E8" s="5">
        <v>0</v>
      </c>
      <c r="G8" s="5">
        <f t="array" ref="G8:L13">_xlfn.MUNIT(6)</f>
        <v>1</v>
      </c>
      <c r="H8" s="5">
        <v>0</v>
      </c>
      <c r="I8" s="5">
        <v>0</v>
      </c>
      <c r="J8" s="5">
        <v>0</v>
      </c>
      <c r="K8" s="5">
        <v>0</v>
      </c>
      <c r="L8" s="5">
        <v>0</v>
      </c>
    </row>
    <row r="9" spans="1:12" x14ac:dyDescent="0.4">
      <c r="A9" s="5">
        <v>0</v>
      </c>
      <c r="B9" s="5">
        <v>1</v>
      </c>
      <c r="C9" s="5">
        <v>0</v>
      </c>
      <c r="D9" s="5">
        <v>0</v>
      </c>
      <c r="E9" s="5">
        <v>0</v>
      </c>
      <c r="G9" s="5">
        <v>0</v>
      </c>
      <c r="H9" s="5">
        <v>1</v>
      </c>
      <c r="I9" s="5">
        <v>0</v>
      </c>
      <c r="J9" s="5">
        <v>0</v>
      </c>
      <c r="K9" s="5">
        <v>0</v>
      </c>
      <c r="L9" s="5">
        <v>0</v>
      </c>
    </row>
    <row r="10" spans="1:12" x14ac:dyDescent="0.4">
      <c r="A10" s="5">
        <v>0</v>
      </c>
      <c r="B10" s="5">
        <v>0</v>
      </c>
      <c r="C10" s="5">
        <v>1</v>
      </c>
      <c r="D10" s="5">
        <v>0</v>
      </c>
      <c r="E10" s="5">
        <v>0</v>
      </c>
      <c r="G10" s="5">
        <v>0</v>
      </c>
      <c r="H10" s="5">
        <v>0</v>
      </c>
      <c r="I10" s="5">
        <v>1</v>
      </c>
      <c r="J10" s="5">
        <v>0</v>
      </c>
      <c r="K10" s="5">
        <v>0</v>
      </c>
      <c r="L10" s="5">
        <v>0</v>
      </c>
    </row>
    <row r="11" spans="1:12" x14ac:dyDescent="0.4">
      <c r="A11" s="5">
        <v>0</v>
      </c>
      <c r="B11" s="5">
        <v>0</v>
      </c>
      <c r="C11" s="5">
        <v>0</v>
      </c>
      <c r="D11" s="5">
        <v>1</v>
      </c>
      <c r="E11" s="5">
        <v>0</v>
      </c>
      <c r="G11" s="5">
        <v>0</v>
      </c>
      <c r="H11" s="5">
        <v>0</v>
      </c>
      <c r="I11" s="5">
        <v>0</v>
      </c>
      <c r="J11" s="5">
        <v>1</v>
      </c>
      <c r="K11" s="5">
        <v>0</v>
      </c>
      <c r="L11" s="5">
        <v>0</v>
      </c>
    </row>
    <row r="12" spans="1:12" x14ac:dyDescent="0.4">
      <c r="A12" s="5">
        <v>0</v>
      </c>
      <c r="B12" s="5">
        <v>0</v>
      </c>
      <c r="C12" s="5">
        <v>0</v>
      </c>
      <c r="D12" s="5">
        <v>0</v>
      </c>
      <c r="E12" s="5">
        <v>1</v>
      </c>
      <c r="G12" s="5">
        <v>0</v>
      </c>
      <c r="H12" s="5">
        <v>0</v>
      </c>
      <c r="I12" s="5">
        <v>0</v>
      </c>
      <c r="J12" s="5">
        <v>0</v>
      </c>
      <c r="K12" s="5">
        <v>1</v>
      </c>
      <c r="L12" s="5">
        <v>0</v>
      </c>
    </row>
    <row r="13" spans="1:12" x14ac:dyDescent="0.4"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</v>
      </c>
    </row>
  </sheetData>
  <conditionalFormatting sqref="A1:M15">
    <cfRule type="colorScale" priority="1">
      <colorScale>
        <cfvo type="num" val="0"/>
        <cfvo type="num" val="0"/>
        <color theme="8" tint="0.79998168889431442"/>
        <color theme="8" tint="0.79998168889431442"/>
      </colorScale>
    </cfRule>
  </conditionalFormatting>
  <pageMargins left="0.7" right="0.7" top="0.75" bottom="0.75" header="0.3" footer="0.3"/>
  <pageSetup paperSize="9" orientation="portrait" r:id="rId1"/>
  <headerFooter>
    <oddHeader>&amp;CСалимов Даниил Рамильевич 
2 группа, 2 подгруппа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08324-01EB-4C72-BAF1-E3DE4A7BF565}">
  <dimension ref="A1:W16"/>
  <sheetViews>
    <sheetView view="pageLayout" topLeftCell="G1" zoomScaleNormal="100" workbookViewId="0">
      <selection sqref="A1:X7"/>
    </sheetView>
  </sheetViews>
  <sheetFormatPr defaultColWidth="6" defaultRowHeight="19.8" x14ac:dyDescent="0.4"/>
  <cols>
    <col min="1" max="3" width="6.109375" style="5" bestFit="1" customWidth="1"/>
    <col min="4" max="4" width="6.44140625" style="5" bestFit="1" customWidth="1"/>
    <col min="5" max="5" width="9.77734375" style="5" bestFit="1" customWidth="1"/>
    <col min="6" max="6" width="6" style="5"/>
    <col min="7" max="7" width="9.6640625" style="5" bestFit="1" customWidth="1"/>
    <col min="8" max="8" width="7.21875" style="5" bestFit="1" customWidth="1"/>
    <col min="9" max="10" width="6.77734375" style="5" customWidth="1"/>
    <col min="11" max="15" width="6" style="5"/>
    <col min="16" max="18" width="6.109375" style="5" bestFit="1" customWidth="1"/>
    <col min="19" max="19" width="6.44140625" style="5" bestFit="1" customWidth="1"/>
    <col min="20" max="16384" width="6" style="5"/>
  </cols>
  <sheetData>
    <row r="1" spans="1:23" x14ac:dyDescent="0.4">
      <c r="A1" s="5" t="s">
        <v>26</v>
      </c>
      <c r="G1" s="5" t="s">
        <v>27</v>
      </c>
      <c r="L1" s="5" t="s">
        <v>4</v>
      </c>
      <c r="Q1" s="5" t="s">
        <v>28</v>
      </c>
      <c r="W1" s="5" t="s">
        <v>29</v>
      </c>
    </row>
    <row r="3" spans="1:23" x14ac:dyDescent="0.4">
      <c r="A3" s="5">
        <v>6</v>
      </c>
      <c r="B3" s="5">
        <v>3</v>
      </c>
      <c r="C3" s="5">
        <v>1</v>
      </c>
      <c r="D3" s="5">
        <v>8</v>
      </c>
      <c r="E3" s="5">
        <v>10</v>
      </c>
      <c r="G3" s="5">
        <v>6</v>
      </c>
      <c r="H3" s="5">
        <v>71</v>
      </c>
      <c r="I3" s="5">
        <v>4</v>
      </c>
      <c r="J3" s="5">
        <v>2</v>
      </c>
      <c r="L3" s="5">
        <v>5</v>
      </c>
      <c r="M3" s="5">
        <v>3</v>
      </c>
      <c r="Q3" s="5">
        <v>11</v>
      </c>
      <c r="R3" s="5">
        <v>-1</v>
      </c>
      <c r="S3" s="5">
        <v>7</v>
      </c>
      <c r="T3" s="5">
        <v>-23</v>
      </c>
      <c r="U3" s="5">
        <v>4</v>
      </c>
      <c r="W3" s="5">
        <v>8</v>
      </c>
    </row>
    <row r="4" spans="1:23" x14ac:dyDescent="0.4">
      <c r="A4" s="5">
        <v>7</v>
      </c>
      <c r="B4" s="5">
        <v>14</v>
      </c>
      <c r="C4" s="5">
        <v>11</v>
      </c>
      <c r="D4" s="5">
        <v>55</v>
      </c>
      <c r="E4" s="5">
        <v>76</v>
      </c>
      <c r="G4" s="5">
        <v>3</v>
      </c>
      <c r="H4" s="5">
        <v>40</v>
      </c>
      <c r="I4" s="5">
        <v>29</v>
      </c>
      <c r="J4" s="5">
        <v>8</v>
      </c>
      <c r="L4" s="5">
        <v>7</v>
      </c>
      <c r="M4" s="5">
        <v>14</v>
      </c>
      <c r="W4" s="5">
        <v>7</v>
      </c>
    </row>
    <row r="5" spans="1:23" x14ac:dyDescent="0.4">
      <c r="A5" s="5">
        <v>1</v>
      </c>
      <c r="B5" s="5">
        <v>5</v>
      </c>
      <c r="C5" s="5">
        <v>22</v>
      </c>
      <c r="D5" s="5">
        <v>8</v>
      </c>
      <c r="E5" s="5">
        <v>0</v>
      </c>
      <c r="L5" s="5">
        <v>8</v>
      </c>
      <c r="M5" s="5">
        <v>11</v>
      </c>
      <c r="W5" s="5">
        <v>6</v>
      </c>
    </row>
    <row r="6" spans="1:23" x14ac:dyDescent="0.4">
      <c r="A6" s="5">
        <v>1</v>
      </c>
      <c r="B6" s="5">
        <v>1</v>
      </c>
      <c r="C6" s="5">
        <v>6</v>
      </c>
      <c r="D6" s="5">
        <v>33</v>
      </c>
      <c r="E6" s="5">
        <v>3</v>
      </c>
      <c r="L6" s="5">
        <v>99</v>
      </c>
      <c r="M6" s="5">
        <v>-13</v>
      </c>
      <c r="W6" s="5">
        <v>5</v>
      </c>
    </row>
    <row r="7" spans="1:23" x14ac:dyDescent="0.4">
      <c r="A7" s="5">
        <v>13</v>
      </c>
      <c r="B7" s="5">
        <v>8</v>
      </c>
      <c r="C7" s="5">
        <v>2</v>
      </c>
      <c r="D7" s="5">
        <v>9</v>
      </c>
      <c r="E7" s="5">
        <v>13</v>
      </c>
      <c r="W7" s="5">
        <v>4</v>
      </c>
    </row>
    <row r="10" spans="1:23" x14ac:dyDescent="0.4">
      <c r="A10" s="5" t="s">
        <v>30</v>
      </c>
      <c r="G10" s="5" t="s">
        <v>31</v>
      </c>
      <c r="K10" s="5" t="s">
        <v>32</v>
      </c>
      <c r="P10" s="5" t="s">
        <v>33</v>
      </c>
      <c r="U10" s="5" t="s">
        <v>34</v>
      </c>
    </row>
    <row r="12" spans="1:23" x14ac:dyDescent="0.4">
      <c r="A12" s="5">
        <f t="array" ref="A12:E12">MMULT(Q3:U3,A3:E7)</f>
        <v>95</v>
      </c>
      <c r="B12" s="5">
        <v>63</v>
      </c>
      <c r="C12" s="5">
        <v>24</v>
      </c>
      <c r="D12" s="5">
        <v>-634</v>
      </c>
      <c r="E12" s="5">
        <v>17</v>
      </c>
      <c r="G12" s="5">
        <f t="array" ref="G12:H13">MMULT(G3:J4,L3:M6)</f>
        <v>757</v>
      </c>
      <c r="H12" s="5">
        <v>1030</v>
      </c>
      <c r="K12" s="5">
        <f>MMULT(Q3:U3,W3:W7)</f>
        <v>24</v>
      </c>
      <c r="P12" s="5">
        <f t="array" ref="P12:S15">MMULT(W3:W7,Q3:U3)</f>
        <v>88</v>
      </c>
      <c r="Q12" s="5">
        <v>-8</v>
      </c>
      <c r="R12" s="5">
        <v>56</v>
      </c>
      <c r="S12" s="5">
        <v>-184</v>
      </c>
      <c r="U12" s="5">
        <f t="array" ref="U12:U16">MMULT(A3:E7,W3:W7)</f>
        <v>155</v>
      </c>
    </row>
    <row r="13" spans="1:23" x14ac:dyDescent="0.4">
      <c r="G13" s="5">
        <v>1319</v>
      </c>
      <c r="H13" s="5">
        <v>784</v>
      </c>
      <c r="P13" s="5">
        <v>77</v>
      </c>
      <c r="Q13" s="5">
        <v>-7</v>
      </c>
      <c r="R13" s="5">
        <v>49</v>
      </c>
      <c r="S13" s="5">
        <v>-161</v>
      </c>
      <c r="U13" s="5">
        <v>799</v>
      </c>
    </row>
    <row r="14" spans="1:23" x14ac:dyDescent="0.4">
      <c r="P14" s="5">
        <v>66</v>
      </c>
      <c r="Q14" s="5">
        <v>-6</v>
      </c>
      <c r="R14" s="5">
        <v>42</v>
      </c>
      <c r="S14" s="5">
        <v>-138</v>
      </c>
      <c r="U14" s="5">
        <v>215</v>
      </c>
    </row>
    <row r="15" spans="1:23" x14ac:dyDescent="0.4">
      <c r="P15" s="5">
        <v>55</v>
      </c>
      <c r="Q15" s="5">
        <v>-5</v>
      </c>
      <c r="R15" s="5">
        <v>35</v>
      </c>
      <c r="S15" s="5">
        <v>-115</v>
      </c>
      <c r="U15" s="5">
        <v>228</v>
      </c>
    </row>
    <row r="16" spans="1:23" x14ac:dyDescent="0.4">
      <c r="U16" s="5">
        <v>269</v>
      </c>
    </row>
  </sheetData>
  <conditionalFormatting sqref="A1:XFD1048576">
    <cfRule type="colorScale" priority="1">
      <colorScale>
        <cfvo type="num" val="0"/>
        <cfvo type="num" val="0"/>
        <color theme="8" tint="0.79998168889431442"/>
        <color theme="8" tint="0.79998168889431442"/>
      </colorScale>
    </cfRule>
  </conditionalFormatting>
  <pageMargins left="0.7" right="0.7" top="0.75" bottom="0.75" header="0.3" footer="0.3"/>
  <pageSetup paperSize="9" orientation="portrait" r:id="rId1"/>
  <headerFooter>
    <oddHeader>&amp;CСалимов Даниил Рамильевич
2 группа, 2 подгруппа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80300-B8AA-47AC-9166-DE3898B29CB1}">
  <dimension ref="A1:AA15"/>
  <sheetViews>
    <sheetView view="pageLayout" zoomScaleNormal="100" workbookViewId="0">
      <selection activeCell="R14" sqref="R14"/>
    </sheetView>
  </sheetViews>
  <sheetFormatPr defaultColWidth="6.6640625" defaultRowHeight="21" x14ac:dyDescent="0.4"/>
  <cols>
    <col min="1" max="16384" width="6.6640625" style="1"/>
  </cols>
  <sheetData>
    <row r="1" spans="1:27" x14ac:dyDescent="0.4">
      <c r="A1" s="5" t="s">
        <v>26</v>
      </c>
      <c r="B1" s="5"/>
      <c r="C1" s="5"/>
      <c r="D1" s="5"/>
      <c r="E1" s="5"/>
      <c r="F1" s="5"/>
      <c r="G1" s="5" t="s">
        <v>27</v>
      </c>
      <c r="H1" s="5"/>
      <c r="I1" s="5"/>
      <c r="J1" s="5"/>
      <c r="K1" s="5"/>
      <c r="L1" s="5" t="s">
        <v>4</v>
      </c>
      <c r="M1" s="5"/>
      <c r="N1" s="5"/>
      <c r="O1" s="5"/>
      <c r="P1" s="5"/>
      <c r="Q1" s="5" t="s">
        <v>28</v>
      </c>
      <c r="R1" s="5"/>
      <c r="S1" s="5"/>
      <c r="T1" s="5"/>
      <c r="U1" s="5"/>
      <c r="V1" s="5"/>
      <c r="W1" s="5" t="s">
        <v>29</v>
      </c>
      <c r="X1" s="5"/>
    </row>
    <row r="2" spans="1:27" x14ac:dyDescent="0.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7" x14ac:dyDescent="0.4">
      <c r="A3" s="5">
        <v>6</v>
      </c>
      <c r="B3" s="5">
        <v>3</v>
      </c>
      <c r="C3" s="5">
        <v>1</v>
      </c>
      <c r="D3" s="5">
        <v>8</v>
      </c>
      <c r="E3" s="5">
        <v>10</v>
      </c>
      <c r="F3" s="5"/>
      <c r="G3" s="5">
        <v>6</v>
      </c>
      <c r="H3" s="5">
        <v>71</v>
      </c>
      <c r="I3" s="5">
        <v>4</v>
      </c>
      <c r="J3" s="5">
        <v>2</v>
      </c>
      <c r="K3" s="5"/>
      <c r="L3" s="5">
        <v>5</v>
      </c>
      <c r="M3" s="5">
        <v>3</v>
      </c>
      <c r="N3" s="5"/>
      <c r="O3" s="5"/>
      <c r="P3" s="5"/>
      <c r="Q3" s="5">
        <v>11</v>
      </c>
      <c r="R3" s="5">
        <v>-1</v>
      </c>
      <c r="S3" s="5">
        <v>7</v>
      </c>
      <c r="T3" s="5">
        <v>-23</v>
      </c>
      <c r="U3" s="5">
        <v>4</v>
      </c>
      <c r="V3" s="5"/>
      <c r="W3" s="5">
        <v>8</v>
      </c>
      <c r="X3" s="5"/>
    </row>
    <row r="4" spans="1:27" x14ac:dyDescent="0.4">
      <c r="A4" s="5">
        <v>7</v>
      </c>
      <c r="B4" s="5">
        <v>14</v>
      </c>
      <c r="C4" s="5">
        <v>11</v>
      </c>
      <c r="D4" s="5">
        <v>55</v>
      </c>
      <c r="E4" s="5">
        <v>76</v>
      </c>
      <c r="F4" s="5"/>
      <c r="G4" s="5">
        <v>3</v>
      </c>
      <c r="H4" s="5">
        <v>40</v>
      </c>
      <c r="I4" s="5">
        <v>29</v>
      </c>
      <c r="J4" s="5">
        <v>8</v>
      </c>
      <c r="K4" s="5"/>
      <c r="L4" s="5">
        <v>7</v>
      </c>
      <c r="M4" s="5">
        <v>14</v>
      </c>
      <c r="N4" s="5"/>
      <c r="O4" s="5"/>
      <c r="P4" s="5"/>
      <c r="Q4" s="5"/>
      <c r="R4" s="5"/>
      <c r="S4" s="5"/>
      <c r="T4" s="5"/>
      <c r="U4" s="5"/>
      <c r="V4" s="5"/>
      <c r="W4" s="5">
        <v>7</v>
      </c>
      <c r="X4" s="5"/>
    </row>
    <row r="5" spans="1:27" x14ac:dyDescent="0.4">
      <c r="A5" s="5">
        <v>1</v>
      </c>
      <c r="B5" s="5">
        <v>5</v>
      </c>
      <c r="C5" s="5">
        <v>22</v>
      </c>
      <c r="D5" s="5">
        <v>8</v>
      </c>
      <c r="E5" s="5">
        <v>0</v>
      </c>
      <c r="F5" s="5"/>
      <c r="G5" s="5"/>
      <c r="H5" s="5"/>
      <c r="I5" s="5"/>
      <c r="J5" s="5"/>
      <c r="K5" s="5"/>
      <c r="L5" s="5">
        <v>8</v>
      </c>
      <c r="M5" s="5">
        <v>11</v>
      </c>
      <c r="N5" s="5"/>
      <c r="O5" s="5"/>
      <c r="P5" s="5"/>
      <c r="Q5" s="5"/>
      <c r="R5" s="5"/>
      <c r="S5" s="5"/>
      <c r="T5" s="5"/>
      <c r="U5" s="5"/>
      <c r="V5" s="5"/>
      <c r="W5" s="5">
        <v>6</v>
      </c>
      <c r="X5" s="5"/>
    </row>
    <row r="6" spans="1:27" x14ac:dyDescent="0.4">
      <c r="A6" s="5">
        <v>1</v>
      </c>
      <c r="B6" s="5">
        <v>1</v>
      </c>
      <c r="C6" s="5">
        <v>6</v>
      </c>
      <c r="D6" s="5">
        <v>33</v>
      </c>
      <c r="E6" s="5">
        <v>3</v>
      </c>
      <c r="F6" s="5"/>
      <c r="G6" s="5"/>
      <c r="H6" s="5"/>
      <c r="I6" s="5"/>
      <c r="J6" s="5"/>
      <c r="K6" s="5"/>
      <c r="L6" s="5">
        <v>99</v>
      </c>
      <c r="M6" s="5">
        <v>-13</v>
      </c>
      <c r="N6" s="5"/>
      <c r="O6" s="5"/>
      <c r="P6" s="5"/>
      <c r="Q6" s="5"/>
      <c r="R6" s="5"/>
      <c r="S6" s="5"/>
      <c r="T6" s="5"/>
      <c r="U6" s="5"/>
      <c r="V6" s="5"/>
      <c r="W6" s="5">
        <v>5</v>
      </c>
      <c r="X6" s="5"/>
    </row>
    <row r="7" spans="1:27" x14ac:dyDescent="0.4">
      <c r="A7" s="5">
        <v>13</v>
      </c>
      <c r="B7" s="5">
        <v>8</v>
      </c>
      <c r="C7" s="5">
        <v>2</v>
      </c>
      <c r="D7" s="5">
        <v>9</v>
      </c>
      <c r="E7" s="5">
        <v>13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>
        <v>4</v>
      </c>
      <c r="X7" s="5"/>
    </row>
    <row r="9" spans="1:27" x14ac:dyDescent="0.4">
      <c r="A9" s="1" t="s">
        <v>0</v>
      </c>
      <c r="G9" s="1" t="s">
        <v>1</v>
      </c>
      <c r="L9" s="1" t="s">
        <v>2</v>
      </c>
      <c r="Q9" s="1" t="s">
        <v>3</v>
      </c>
      <c r="W9" s="1" t="s">
        <v>4</v>
      </c>
    </row>
    <row r="11" spans="1:27" x14ac:dyDescent="0.4">
      <c r="A11" s="6">
        <f t="array" ref="A11:E15">TRANSPOSE(A3:E7)</f>
        <v>6</v>
      </c>
      <c r="B11" s="6">
        <v>7</v>
      </c>
      <c r="C11" s="6">
        <v>1</v>
      </c>
      <c r="D11" s="6">
        <v>1</v>
      </c>
      <c r="E11" s="6">
        <v>13</v>
      </c>
      <c r="G11" s="6">
        <f t="array" ref="G11:H14">TRANSPOSE(G3:J4)</f>
        <v>6</v>
      </c>
      <c r="H11" s="6">
        <v>3</v>
      </c>
      <c r="L11" s="6">
        <f t="array" ref="L11:O12">TRANSPOSE(L3:M6)</f>
        <v>5</v>
      </c>
      <c r="M11" s="6">
        <v>7</v>
      </c>
      <c r="N11" s="6">
        <v>8</v>
      </c>
      <c r="O11" s="6">
        <v>99</v>
      </c>
      <c r="Q11" s="6">
        <f t="array" ref="Q11:Q15">TRANSPOSE(Q3:U3)</f>
        <v>11</v>
      </c>
      <c r="W11" s="6">
        <f t="array" ref="W11:AA11">TRANSPOSE(W3:W7)</f>
        <v>8</v>
      </c>
      <c r="X11" s="6">
        <v>7</v>
      </c>
      <c r="Y11" s="6">
        <v>6</v>
      </c>
      <c r="Z11" s="6">
        <v>5</v>
      </c>
      <c r="AA11" s="6">
        <v>4</v>
      </c>
    </row>
    <row r="12" spans="1:27" x14ac:dyDescent="0.4">
      <c r="A12" s="6">
        <v>3</v>
      </c>
      <c r="B12" s="6">
        <v>14</v>
      </c>
      <c r="C12" s="6">
        <v>5</v>
      </c>
      <c r="D12" s="6">
        <v>1</v>
      </c>
      <c r="E12" s="6">
        <v>8</v>
      </c>
      <c r="G12" s="6">
        <v>71</v>
      </c>
      <c r="H12" s="6">
        <v>40</v>
      </c>
      <c r="L12" s="6">
        <v>3</v>
      </c>
      <c r="M12" s="6">
        <v>14</v>
      </c>
      <c r="N12" s="6">
        <v>11</v>
      </c>
      <c r="O12" s="6">
        <v>-13</v>
      </c>
      <c r="Q12" s="6">
        <v>-1</v>
      </c>
    </row>
    <row r="13" spans="1:27" x14ac:dyDescent="0.4">
      <c r="A13" s="6">
        <v>1</v>
      </c>
      <c r="B13" s="6">
        <v>11</v>
      </c>
      <c r="C13" s="6">
        <v>22</v>
      </c>
      <c r="D13" s="6">
        <v>6</v>
      </c>
      <c r="E13" s="6">
        <v>2</v>
      </c>
      <c r="G13" s="6">
        <v>4</v>
      </c>
      <c r="H13" s="6">
        <v>29</v>
      </c>
      <c r="Q13" s="6">
        <v>7</v>
      </c>
    </row>
    <row r="14" spans="1:27" x14ac:dyDescent="0.4">
      <c r="A14" s="6">
        <v>8</v>
      </c>
      <c r="B14" s="6">
        <v>55</v>
      </c>
      <c r="C14" s="6">
        <v>8</v>
      </c>
      <c r="D14" s="6">
        <v>33</v>
      </c>
      <c r="E14" s="6">
        <v>9</v>
      </c>
      <c r="G14" s="6">
        <v>2</v>
      </c>
      <c r="H14" s="6">
        <v>8</v>
      </c>
      <c r="Q14" s="6">
        <v>-23</v>
      </c>
    </row>
    <row r="15" spans="1:27" x14ac:dyDescent="0.4">
      <c r="A15" s="6">
        <v>10</v>
      </c>
      <c r="B15" s="6">
        <v>76</v>
      </c>
      <c r="C15" s="6">
        <v>0</v>
      </c>
      <c r="D15" s="6">
        <v>3</v>
      </c>
      <c r="E15" s="6">
        <v>13</v>
      </c>
      <c r="Q15" s="6">
        <v>4</v>
      </c>
    </row>
  </sheetData>
  <conditionalFormatting sqref="A1:X7">
    <cfRule type="colorScale" priority="1">
      <colorScale>
        <cfvo type="num" val="0"/>
        <cfvo type="num" val="0"/>
        <color theme="8" tint="0.79998168889431442"/>
        <color theme="8" tint="0.79998168889431442"/>
      </colorScale>
    </cfRule>
  </conditionalFormatting>
  <pageMargins left="0.7" right="0.7" top="0.75" bottom="0.75" header="0.3" footer="0.3"/>
  <pageSetup paperSize="9" orientation="portrait" r:id="rId1"/>
  <headerFooter>
    <oddHeader>&amp;CСалимов Даниил Рамильевич
2 группа, 2 подгруппа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F7877-90B7-4BB9-A344-2055B8EE4748}">
  <dimension ref="A1:X12"/>
  <sheetViews>
    <sheetView view="pageLayout" topLeftCell="L1" zoomScaleNormal="100" workbookViewId="0">
      <selection sqref="A1:X9"/>
    </sheetView>
  </sheetViews>
  <sheetFormatPr defaultColWidth="7" defaultRowHeight="21" x14ac:dyDescent="0.4"/>
  <cols>
    <col min="1" max="3" width="7" style="1"/>
    <col min="4" max="4" width="7.44140625" style="1" bestFit="1" customWidth="1"/>
    <col min="5" max="7" width="7" style="1"/>
    <col min="8" max="8" width="11.44140625" style="1" bestFit="1" customWidth="1"/>
    <col min="9" max="12" width="7" style="1"/>
    <col min="13" max="13" width="13.77734375" style="1" bestFit="1" customWidth="1"/>
    <col min="14" max="18" width="7" style="1"/>
    <col min="19" max="19" width="18.44140625" style="1" bestFit="1" customWidth="1"/>
    <col min="20" max="16384" width="7" style="1"/>
  </cols>
  <sheetData>
    <row r="1" spans="1:24" x14ac:dyDescent="0.4">
      <c r="A1" s="1" t="s">
        <v>0</v>
      </c>
      <c r="D1" s="1" t="s">
        <v>1</v>
      </c>
      <c r="H1" s="1" t="s">
        <v>2</v>
      </c>
      <c r="M1" s="1" t="s">
        <v>3</v>
      </c>
      <c r="S1" s="1" t="s">
        <v>4</v>
      </c>
    </row>
    <row r="4" spans="1:24" x14ac:dyDescent="0.4">
      <c r="A4" s="5">
        <v>1</v>
      </c>
      <c r="B4" s="5">
        <v>3</v>
      </c>
      <c r="C4" s="5"/>
      <c r="D4" s="5">
        <v>56</v>
      </c>
      <c r="E4" s="5">
        <v>1</v>
      </c>
      <c r="F4" s="5">
        <v>23</v>
      </c>
      <c r="G4" s="5"/>
      <c r="H4" s="5">
        <v>1</v>
      </c>
      <c r="I4" s="5">
        <v>1</v>
      </c>
      <c r="J4" s="5">
        <v>6</v>
      </c>
      <c r="K4" s="5">
        <v>77</v>
      </c>
      <c r="L4" s="5"/>
      <c r="M4" s="5">
        <v>7</v>
      </c>
      <c r="N4" s="5">
        <v>78</v>
      </c>
      <c r="O4" s="5">
        <v>99</v>
      </c>
      <c r="P4" s="5">
        <v>22</v>
      </c>
      <c r="Q4" s="5">
        <v>62</v>
      </c>
      <c r="S4" s="5">
        <v>-9</v>
      </c>
      <c r="T4" s="5">
        <v>55</v>
      </c>
      <c r="U4" s="5">
        <v>67</v>
      </c>
      <c r="V4" s="5">
        <v>-8</v>
      </c>
      <c r="W4" s="5">
        <v>2</v>
      </c>
      <c r="X4" s="5">
        <v>91</v>
      </c>
    </row>
    <row r="5" spans="1:24" x14ac:dyDescent="0.4">
      <c r="A5" s="5">
        <v>2</v>
      </c>
      <c r="B5" s="5">
        <v>6</v>
      </c>
      <c r="C5" s="5"/>
      <c r="D5" s="5">
        <v>66</v>
      </c>
      <c r="E5" s="5">
        <v>0</v>
      </c>
      <c r="F5" s="5">
        <v>3</v>
      </c>
      <c r="G5" s="5"/>
      <c r="H5" s="5">
        <v>2</v>
      </c>
      <c r="I5" s="5">
        <v>2</v>
      </c>
      <c r="J5" s="5">
        <v>72</v>
      </c>
      <c r="K5" s="5">
        <v>89</v>
      </c>
      <c r="L5" s="5"/>
      <c r="M5" s="5">
        <v>22</v>
      </c>
      <c r="N5" s="5">
        <v>45</v>
      </c>
      <c r="O5" s="5">
        <v>91</v>
      </c>
      <c r="P5" s="5">
        <v>31</v>
      </c>
      <c r="Q5" s="5">
        <v>98</v>
      </c>
      <c r="S5" s="5">
        <v>-77</v>
      </c>
      <c r="T5" s="5">
        <v>9</v>
      </c>
      <c r="U5" s="5">
        <v>98</v>
      </c>
      <c r="V5" s="5">
        <v>7</v>
      </c>
      <c r="W5" s="5">
        <v>3</v>
      </c>
      <c r="X5" s="5">
        <v>88</v>
      </c>
    </row>
    <row r="6" spans="1:24" x14ac:dyDescent="0.4">
      <c r="A6" s="5"/>
      <c r="B6" s="5"/>
      <c r="C6" s="5"/>
      <c r="D6" s="5">
        <v>77</v>
      </c>
      <c r="E6" s="5">
        <v>2</v>
      </c>
      <c r="F6" s="5">
        <v>6</v>
      </c>
      <c r="G6" s="5"/>
      <c r="H6" s="5">
        <v>5</v>
      </c>
      <c r="I6" s="5">
        <v>32</v>
      </c>
      <c r="J6" s="5">
        <v>66</v>
      </c>
      <c r="K6" s="5">
        <v>34</v>
      </c>
      <c r="L6" s="5"/>
      <c r="M6" s="5">
        <v>31</v>
      </c>
      <c r="N6" s="5">
        <v>21</v>
      </c>
      <c r="O6" s="5">
        <v>37</v>
      </c>
      <c r="P6" s="5">
        <v>48</v>
      </c>
      <c r="Q6" s="5">
        <v>58</v>
      </c>
      <c r="S6" s="5">
        <v>23</v>
      </c>
      <c r="T6" s="5">
        <v>10</v>
      </c>
      <c r="U6" s="5">
        <v>-98</v>
      </c>
      <c r="V6" s="5">
        <v>11</v>
      </c>
      <c r="W6" s="5">
        <v>4</v>
      </c>
      <c r="X6" s="5">
        <v>75</v>
      </c>
    </row>
    <row r="7" spans="1:24" x14ac:dyDescent="0.4">
      <c r="A7" s="5"/>
      <c r="B7" s="5"/>
      <c r="C7" s="5"/>
      <c r="D7" s="5"/>
      <c r="E7" s="5"/>
      <c r="F7" s="5"/>
      <c r="G7" s="5"/>
      <c r="H7" s="5">
        <v>4</v>
      </c>
      <c r="I7" s="5">
        <v>34</v>
      </c>
      <c r="J7" s="5">
        <v>45</v>
      </c>
      <c r="K7" s="5">
        <v>38</v>
      </c>
      <c r="L7" s="5"/>
      <c r="M7" s="5">
        <v>15</v>
      </c>
      <c r="N7" s="5">
        <v>65</v>
      </c>
      <c r="O7" s="5">
        <v>18</v>
      </c>
      <c r="P7" s="5">
        <v>85</v>
      </c>
      <c r="Q7" s="5">
        <v>44</v>
      </c>
      <c r="S7" s="5">
        <v>22</v>
      </c>
      <c r="T7" s="5">
        <v>20</v>
      </c>
      <c r="U7" s="5">
        <v>51</v>
      </c>
      <c r="V7" s="5">
        <v>14</v>
      </c>
      <c r="W7" s="5">
        <v>56</v>
      </c>
      <c r="X7" s="5">
        <v>67</v>
      </c>
    </row>
    <row r="8" spans="1:24" x14ac:dyDescent="0.4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>
        <v>60</v>
      </c>
      <c r="N8" s="5">
        <v>43</v>
      </c>
      <c r="O8" s="5">
        <v>91</v>
      </c>
      <c r="P8" s="5">
        <v>13</v>
      </c>
      <c r="Q8" s="5">
        <v>13</v>
      </c>
      <c r="S8" s="5">
        <v>12</v>
      </c>
      <c r="T8" s="5">
        <v>-99</v>
      </c>
      <c r="U8" s="5">
        <v>-76</v>
      </c>
      <c r="V8" s="5">
        <v>65</v>
      </c>
      <c r="W8" s="5">
        <v>-44</v>
      </c>
      <c r="X8" s="5">
        <v>-8</v>
      </c>
    </row>
    <row r="9" spans="1:24" x14ac:dyDescent="0.4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S9" s="5">
        <v>2</v>
      </c>
      <c r="T9" s="5">
        <v>7</v>
      </c>
      <c r="U9" s="5">
        <v>8</v>
      </c>
      <c r="V9" s="5">
        <v>66</v>
      </c>
      <c r="W9" s="5">
        <v>-1</v>
      </c>
      <c r="X9" s="5">
        <v>0</v>
      </c>
    </row>
    <row r="10" spans="1:24" x14ac:dyDescent="0.4">
      <c r="F10" s="5"/>
    </row>
    <row r="11" spans="1:24" x14ac:dyDescent="0.4">
      <c r="A11" s="7">
        <f>MDETERM(A4:B5)</f>
        <v>0</v>
      </c>
      <c r="D11" s="7">
        <f>MDETERM(D4:F6)</f>
        <v>2535</v>
      </c>
      <c r="F11" s="5"/>
      <c r="H11" s="7">
        <f>MDETERM(H4:K7)</f>
        <v>-161054.99999999994</v>
      </c>
      <c r="M11" s="7">
        <f>MDETERM(M4:Q8)</f>
        <v>64984017.99999994</v>
      </c>
      <c r="S11" s="8">
        <f>MDETERM(S4:X9)</f>
        <v>-371679669018</v>
      </c>
    </row>
    <row r="12" spans="1:24" x14ac:dyDescent="0.4">
      <c r="A12" s="5"/>
      <c r="B12" s="5"/>
      <c r="C12" s="5"/>
      <c r="D12" s="5"/>
      <c r="E12" s="5"/>
      <c r="F12" s="5"/>
    </row>
  </sheetData>
  <conditionalFormatting sqref="A4:L9 M4:Q8 A12:F12 S4:X9 F10:F11">
    <cfRule type="colorScale" priority="1">
      <colorScale>
        <cfvo type="num" val="0"/>
        <cfvo type="num" val="0"/>
        <color theme="8" tint="0.79998168889431442"/>
        <color theme="8" tint="0.79998168889431442"/>
      </colorScale>
    </cfRule>
  </conditionalFormatting>
  <pageMargins left="0.7" right="0.7" top="0.75" bottom="0.75" header="0.3" footer="0.3"/>
  <pageSetup paperSize="9" orientation="portrait" r:id="rId1"/>
  <headerFooter>
    <oddHeader>&amp;CСалимов Даниил Рамильевич 
2 группа, 2 подгруппа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DD3B1-6125-4247-831F-7F2BF4D883DE}">
  <dimension ref="A1:Y18"/>
  <sheetViews>
    <sheetView tabSelected="1" view="pageLayout" zoomScaleNormal="100" workbookViewId="0">
      <selection activeCell="G8" sqref="G8"/>
    </sheetView>
  </sheetViews>
  <sheetFormatPr defaultColWidth="6.6640625" defaultRowHeight="22.2" x14ac:dyDescent="0.45"/>
  <cols>
    <col min="1" max="2" width="9.21875" style="9" bestFit="1" customWidth="1"/>
    <col min="3" max="3" width="6.6640625" style="9"/>
    <col min="4" max="6" width="7.6640625" style="9" bestFit="1" customWidth="1"/>
    <col min="7" max="7" width="6.6640625" style="9"/>
    <col min="8" max="11" width="7.6640625" style="9" bestFit="1" customWidth="1"/>
    <col min="12" max="12" width="6.6640625" style="9"/>
    <col min="13" max="17" width="7.6640625" style="9" bestFit="1" customWidth="1"/>
    <col min="18" max="18" width="6.6640625" style="9"/>
    <col min="19" max="23" width="7.6640625" style="9" bestFit="1" customWidth="1"/>
    <col min="24" max="24" width="6.77734375" style="9" bestFit="1" customWidth="1"/>
    <col min="25" max="16384" width="6.6640625" style="9"/>
  </cols>
  <sheetData>
    <row r="1" spans="1:25" x14ac:dyDescent="0.45">
      <c r="A1" s="1" t="s">
        <v>0</v>
      </c>
      <c r="B1" s="1"/>
      <c r="C1" s="1"/>
      <c r="D1" s="1" t="s">
        <v>1</v>
      </c>
      <c r="E1" s="1"/>
      <c r="F1" s="1"/>
      <c r="G1" s="1"/>
      <c r="H1" s="1" t="s">
        <v>2</v>
      </c>
      <c r="I1" s="1"/>
      <c r="J1" s="1"/>
      <c r="K1" s="1"/>
      <c r="L1" s="1"/>
      <c r="M1" s="1" t="s">
        <v>3</v>
      </c>
      <c r="N1" s="1"/>
      <c r="O1" s="1"/>
      <c r="P1" s="1"/>
      <c r="Q1" s="1"/>
      <c r="R1" s="1"/>
      <c r="S1" s="1" t="s">
        <v>4</v>
      </c>
      <c r="T1" s="1"/>
      <c r="U1" s="1"/>
      <c r="V1" s="1"/>
      <c r="W1" s="1"/>
      <c r="X1" s="1"/>
    </row>
    <row r="2" spans="1:25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5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5" x14ac:dyDescent="0.45">
      <c r="A4" s="5">
        <v>2</v>
      </c>
      <c r="B4" s="5">
        <v>3</v>
      </c>
      <c r="C4" s="5"/>
      <c r="D4" s="5">
        <v>56</v>
      </c>
      <c r="E4" s="5">
        <v>1</v>
      </c>
      <c r="F4" s="5">
        <v>23</v>
      </c>
      <c r="G4" s="5"/>
      <c r="H4" s="5">
        <v>1</v>
      </c>
      <c r="I4" s="5">
        <v>1</v>
      </c>
      <c r="J4" s="5">
        <v>6</v>
      </c>
      <c r="K4" s="5">
        <v>77</v>
      </c>
      <c r="L4" s="5"/>
      <c r="M4" s="5">
        <v>7</v>
      </c>
      <c r="N4" s="5">
        <v>78</v>
      </c>
      <c r="O4" s="5">
        <v>99</v>
      </c>
      <c r="P4" s="5">
        <v>22</v>
      </c>
      <c r="Q4" s="5">
        <v>62</v>
      </c>
      <c r="R4" s="1"/>
      <c r="S4" s="5">
        <v>-9</v>
      </c>
      <c r="T4" s="5">
        <v>55</v>
      </c>
      <c r="U4" s="5">
        <v>67</v>
      </c>
      <c r="V4" s="5">
        <v>-8</v>
      </c>
      <c r="W4" s="5">
        <v>2</v>
      </c>
      <c r="X4" s="5">
        <v>91</v>
      </c>
    </row>
    <row r="5" spans="1:25" x14ac:dyDescent="0.45">
      <c r="A5" s="5">
        <v>99</v>
      </c>
      <c r="B5" s="5">
        <v>6</v>
      </c>
      <c r="C5" s="5"/>
      <c r="D5" s="5">
        <v>66</v>
      </c>
      <c r="E5" s="5">
        <v>0</v>
      </c>
      <c r="F5" s="5">
        <v>3</v>
      </c>
      <c r="G5" s="5"/>
      <c r="H5" s="5">
        <v>2</v>
      </c>
      <c r="I5" s="5">
        <v>2</v>
      </c>
      <c r="J5" s="5">
        <v>72</v>
      </c>
      <c r="K5" s="5">
        <v>89</v>
      </c>
      <c r="L5" s="5"/>
      <c r="M5" s="5">
        <v>22</v>
      </c>
      <c r="N5" s="5">
        <v>45</v>
      </c>
      <c r="O5" s="5">
        <v>91</v>
      </c>
      <c r="P5" s="5">
        <v>31</v>
      </c>
      <c r="Q5" s="5">
        <v>98</v>
      </c>
      <c r="R5" s="1"/>
      <c r="S5" s="5">
        <v>-77</v>
      </c>
      <c r="T5" s="5">
        <v>9</v>
      </c>
      <c r="U5" s="5">
        <v>98</v>
      </c>
      <c r="V5" s="5">
        <v>7</v>
      </c>
      <c r="W5" s="5">
        <v>3</v>
      </c>
      <c r="X5" s="5">
        <v>88</v>
      </c>
    </row>
    <row r="6" spans="1:25" x14ac:dyDescent="0.45">
      <c r="A6" s="5"/>
      <c r="B6" s="5"/>
      <c r="C6" s="5"/>
      <c r="D6" s="5">
        <v>77</v>
      </c>
      <c r="E6" s="5">
        <v>2</v>
      </c>
      <c r="F6" s="5">
        <v>6</v>
      </c>
      <c r="G6" s="5"/>
      <c r="H6" s="5">
        <v>5</v>
      </c>
      <c r="I6" s="5">
        <v>32</v>
      </c>
      <c r="J6" s="5">
        <v>66</v>
      </c>
      <c r="K6" s="5">
        <v>34</v>
      </c>
      <c r="L6" s="5"/>
      <c r="M6" s="5">
        <v>31</v>
      </c>
      <c r="N6" s="5">
        <v>21</v>
      </c>
      <c r="O6" s="5">
        <v>37</v>
      </c>
      <c r="P6" s="5">
        <v>48</v>
      </c>
      <c r="Q6" s="5">
        <v>58</v>
      </c>
      <c r="R6" s="1"/>
      <c r="S6" s="5">
        <v>23</v>
      </c>
      <c r="T6" s="5">
        <v>10</v>
      </c>
      <c r="U6" s="5">
        <v>-98</v>
      </c>
      <c r="V6" s="5">
        <v>11</v>
      </c>
      <c r="W6" s="5">
        <v>4</v>
      </c>
      <c r="X6" s="5">
        <v>75</v>
      </c>
    </row>
    <row r="7" spans="1:25" x14ac:dyDescent="0.45">
      <c r="A7" s="5"/>
      <c r="B7" s="5"/>
      <c r="C7" s="5"/>
      <c r="D7" s="5"/>
      <c r="E7" s="5"/>
      <c r="F7" s="5"/>
      <c r="G7" s="5"/>
      <c r="H7" s="5">
        <v>4</v>
      </c>
      <c r="I7" s="5">
        <v>34</v>
      </c>
      <c r="J7" s="5">
        <v>45</v>
      </c>
      <c r="K7" s="5">
        <v>38</v>
      </c>
      <c r="L7" s="5"/>
      <c r="M7" s="5">
        <v>15</v>
      </c>
      <c r="N7" s="5">
        <v>65</v>
      </c>
      <c r="O7" s="5">
        <v>18</v>
      </c>
      <c r="P7" s="5">
        <v>85</v>
      </c>
      <c r="Q7" s="5">
        <v>44</v>
      </c>
      <c r="R7" s="1"/>
      <c r="S7" s="5">
        <v>22</v>
      </c>
      <c r="T7" s="5">
        <v>20</v>
      </c>
      <c r="U7" s="5">
        <v>51</v>
      </c>
      <c r="V7" s="5">
        <v>14</v>
      </c>
      <c r="W7" s="5">
        <v>56</v>
      </c>
      <c r="X7" s="5">
        <v>67</v>
      </c>
    </row>
    <row r="8" spans="1:25" x14ac:dyDescent="0.4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>
        <v>60</v>
      </c>
      <c r="N8" s="5">
        <v>43</v>
      </c>
      <c r="O8" s="5">
        <v>91</v>
      </c>
      <c r="P8" s="5">
        <v>13</v>
      </c>
      <c r="Q8" s="5">
        <v>13</v>
      </c>
      <c r="R8" s="1"/>
      <c r="S8" s="5">
        <v>12</v>
      </c>
      <c r="T8" s="5">
        <v>-99</v>
      </c>
      <c r="U8" s="5">
        <v>-76</v>
      </c>
      <c r="V8" s="5">
        <v>65</v>
      </c>
      <c r="W8" s="5">
        <v>-44</v>
      </c>
      <c r="X8" s="5">
        <v>-8</v>
      </c>
    </row>
    <row r="9" spans="1:25" x14ac:dyDescent="0.4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1"/>
      <c r="N9" s="1"/>
      <c r="O9" s="1"/>
      <c r="P9" s="1"/>
      <c r="Q9" s="1"/>
      <c r="R9" s="1"/>
      <c r="S9" s="5">
        <v>2</v>
      </c>
      <c r="T9" s="5">
        <v>7</v>
      </c>
      <c r="U9" s="5">
        <v>8</v>
      </c>
      <c r="V9" s="5">
        <v>66</v>
      </c>
      <c r="W9" s="5">
        <v>-1</v>
      </c>
      <c r="X9" s="5">
        <v>0</v>
      </c>
    </row>
    <row r="11" spans="1:25" x14ac:dyDescent="0.45">
      <c r="A11" s="11">
        <f t="array" ref="A11:B12">MINVERSE(A4:B5)</f>
        <v>-2.1052631578947368E-2</v>
      </c>
      <c r="B11" s="11">
        <v>1.0526315789473684E-2</v>
      </c>
      <c r="C11" s="10"/>
      <c r="D11" s="11">
        <f t="array" ref="D11:F13">MINVERSE(D4:F6)</f>
        <v>-2.3668639053254443E-3</v>
      </c>
      <c r="E11" s="11">
        <v>1.5779092702169626E-2</v>
      </c>
      <c r="F11" s="11">
        <v>1.1834319526627206E-3</v>
      </c>
      <c r="G11" s="10"/>
      <c r="H11" s="11">
        <f t="array" ref="H11:K14">MINVERSE(H4:K7)</f>
        <v>0.45897364254447232</v>
      </c>
      <c r="I11" s="11">
        <v>-0.38055322715842416</v>
      </c>
      <c r="J11" s="11">
        <v>1.0253329607897927</v>
      </c>
      <c r="K11" s="11">
        <v>-0.95613299804414675</v>
      </c>
      <c r="L11" s="10"/>
      <c r="M11" s="11">
        <f t="array" ref="M11:Q15">MINVERSE(M4:Q8)</f>
        <v>-0.18855025246361359</v>
      </c>
      <c r="N11" s="11">
        <v>0.22372973305528773</v>
      </c>
      <c r="O11" s="11">
        <v>-0.27888595623619367</v>
      </c>
      <c r="P11" s="11">
        <v>0.11363469399506827</v>
      </c>
      <c r="Q11" s="11">
        <v>7.2312364557082384E-2</v>
      </c>
      <c r="R11" s="10"/>
      <c r="S11" s="11">
        <f t="array" ref="S11:X16">MINVERSE(S4:X9)</f>
        <v>1.4685962160431356E-2</v>
      </c>
      <c r="T11" s="11">
        <v>-1.3815880961601143E-2</v>
      </c>
      <c r="U11" s="11">
        <v>-6.449229317097553E-3</v>
      </c>
      <c r="V11" s="11">
        <v>6.2820093796599995E-3</v>
      </c>
      <c r="W11" s="11">
        <v>7.2284327041571075E-3</v>
      </c>
      <c r="X11" s="11">
        <v>-4.1311495542836352E-3</v>
      </c>
      <c r="Y11" s="10"/>
    </row>
    <row r="12" spans="1:25" x14ac:dyDescent="0.45">
      <c r="A12" s="11">
        <v>0.34736842105263155</v>
      </c>
      <c r="B12" s="11">
        <v>-7.0175438596491229E-3</v>
      </c>
      <c r="C12" s="10"/>
      <c r="D12" s="11">
        <v>-6.5088757396449703E-2</v>
      </c>
      <c r="E12" s="11">
        <v>-0.56607495069033531</v>
      </c>
      <c r="F12" s="11">
        <v>0.53254437869822491</v>
      </c>
      <c r="G12" s="10"/>
      <c r="H12" s="11">
        <v>-3.3547545869423483E-2</v>
      </c>
      <c r="I12" s="11">
        <v>1.4585079631181891E-2</v>
      </c>
      <c r="J12" s="11">
        <v>-9.2111390518766934E-2</v>
      </c>
      <c r="K12" s="11">
        <v>0.11623358480022355</v>
      </c>
      <c r="L12" s="10"/>
      <c r="M12" s="11">
        <v>-0.18319405857606424</v>
      </c>
      <c r="N12" s="11">
        <v>0.23650270440341215</v>
      </c>
      <c r="O12" s="11">
        <v>-0.31746128717371735</v>
      </c>
      <c r="P12" s="11">
        <v>0.13032453610363107</v>
      </c>
      <c r="Q12" s="11">
        <v>6.6095512899802575E-2</v>
      </c>
      <c r="R12" s="10"/>
      <c r="S12" s="11">
        <v>3.3326688981204738E-3</v>
      </c>
      <c r="T12" s="11">
        <v>-2.3031485183510076E-3</v>
      </c>
      <c r="U12" s="11">
        <v>3.9577937687217419E-3</v>
      </c>
      <c r="V12" s="11">
        <v>-6.9771867744383145E-3</v>
      </c>
      <c r="W12" s="11">
        <v>-8.7551476398952752E-3</v>
      </c>
      <c r="X12" s="11">
        <v>1.0091104102921383E-2</v>
      </c>
      <c r="Y12" s="10"/>
    </row>
    <row r="13" spans="1:25" x14ac:dyDescent="0.45">
      <c r="A13" s="10"/>
      <c r="B13" s="10"/>
      <c r="C13" s="10"/>
      <c r="D13" s="11">
        <v>5.2071005917159768E-2</v>
      </c>
      <c r="E13" s="11">
        <v>-1.3806706114398425E-2</v>
      </c>
      <c r="F13" s="11">
        <v>-2.6035502958579884E-2</v>
      </c>
      <c r="G13" s="10"/>
      <c r="H13" s="11">
        <v>-2.3283971314147344E-2</v>
      </c>
      <c r="I13" s="11">
        <v>2.0117351215423303E-2</v>
      </c>
      <c r="J13" s="11">
        <v>-1.2107665083356622E-2</v>
      </c>
      <c r="K13" s="11">
        <v>1.089689857502096E-2</v>
      </c>
      <c r="L13" s="10"/>
      <c r="M13" s="11">
        <v>0.20051824126972284</v>
      </c>
      <c r="N13" s="11">
        <v>-0.24621707755897787</v>
      </c>
      <c r="O13" s="11">
        <v>0.31445636371699914</v>
      </c>
      <c r="P13" s="11">
        <v>-0.13003050996323451</v>
      </c>
      <c r="Q13" s="11">
        <v>-6.3075693472816705E-2</v>
      </c>
      <c r="R13" s="10"/>
      <c r="S13" s="11">
        <v>7.0042777719809112E-3</v>
      </c>
      <c r="T13" s="11">
        <v>-2.0037125839238016E-3</v>
      </c>
      <c r="U13" s="11">
        <v>-8.5440895661317608E-3</v>
      </c>
      <c r="V13" s="11">
        <v>3.08446732378165E-3</v>
      </c>
      <c r="W13" s="11">
        <v>3.36439538730713E-3</v>
      </c>
      <c r="X13" s="11">
        <v>-1.4821673820779281E-3</v>
      </c>
      <c r="Y13" s="10"/>
    </row>
    <row r="14" spans="1:25" x14ac:dyDescent="0.45">
      <c r="A14" s="10"/>
      <c r="B14" s="10"/>
      <c r="C14" s="10"/>
      <c r="D14" s="10"/>
      <c r="E14" s="10"/>
      <c r="F14" s="10"/>
      <c r="G14" s="10"/>
      <c r="H14" s="11">
        <v>9.2763341715562993E-3</v>
      </c>
      <c r="I14" s="11">
        <v>3.1852472757753578E-3</v>
      </c>
      <c r="J14" s="11">
        <v>-1.1176306230790729E-2</v>
      </c>
      <c r="K14" s="11">
        <v>1.0058675607711655E-2</v>
      </c>
      <c r="L14" s="10"/>
      <c r="M14" s="11">
        <v>0.19351636582397866</v>
      </c>
      <c r="N14" s="11">
        <v>-0.25065826185139883</v>
      </c>
      <c r="O14" s="11">
        <v>0.32128022616268542</v>
      </c>
      <c r="P14" s="11">
        <v>-0.11806455242579815</v>
      </c>
      <c r="Q14" s="11">
        <v>-6.7147525411555872E-2</v>
      </c>
      <c r="R14" s="10"/>
      <c r="S14" s="11">
        <v>-1.9424369562840848E-3</v>
      </c>
      <c r="T14" s="11">
        <v>9.9800578272156155E-4</v>
      </c>
      <c r="U14" s="11">
        <v>8.8422952718482937E-4</v>
      </c>
      <c r="V14" s="11">
        <v>3.605079916101379E-4</v>
      </c>
      <c r="W14" s="11">
        <v>1.9174947929839157E-4</v>
      </c>
      <c r="X14" s="11">
        <v>1.4397531985374334E-2</v>
      </c>
      <c r="Y14" s="10"/>
    </row>
    <row r="15" spans="1:25" x14ac:dyDescent="0.4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1">
        <v>-0.12096254189760945</v>
      </c>
      <c r="N15" s="11">
        <v>0.15930086071316807</v>
      </c>
      <c r="O15" s="11">
        <v>-0.18524456274772069</v>
      </c>
      <c r="P15" s="11">
        <v>7.2736838156114106E-2</v>
      </c>
      <c r="Q15" s="11">
        <v>3.3227462173853313E-2</v>
      </c>
      <c r="R15" s="10"/>
      <c r="S15" s="11">
        <v>-1.9466010331196274E-2</v>
      </c>
      <c r="T15" s="11">
        <v>6.0848794365733015E-3</v>
      </c>
      <c r="U15" s="11">
        <v>4.812530012001744E-3</v>
      </c>
      <c r="V15" s="11">
        <v>1.21929773747741E-2</v>
      </c>
      <c r="W15" s="11">
        <v>-7.2585393388018395E-3</v>
      </c>
      <c r="X15" s="11">
        <v>7.552015899648433E-4</v>
      </c>
      <c r="Y15" s="10"/>
    </row>
    <row r="16" spans="1:25" x14ac:dyDescent="0.4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1">
        <v>5.5272833443588453E-3</v>
      </c>
      <c r="T16" s="11">
        <v>1.4548711029276459E-3</v>
      </c>
      <c r="U16" s="11">
        <v>3.2327588570409812E-3</v>
      </c>
      <c r="V16" s="11">
        <v>2.3310126978132932E-3</v>
      </c>
      <c r="W16" s="11">
        <v>3.7057758032315083E-3</v>
      </c>
      <c r="X16" s="11">
        <v>-4.1672088389773897E-3</v>
      </c>
      <c r="Y16" s="10"/>
    </row>
    <row r="17" spans="1:25" x14ac:dyDescent="0.4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spans="1:25" x14ac:dyDescent="0.4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</sheetData>
  <conditionalFormatting sqref="A4:L9 M4:Q8 S4:X9">
    <cfRule type="colorScale" priority="1">
      <colorScale>
        <cfvo type="num" val="0"/>
        <cfvo type="num" val="0"/>
        <color theme="8" tint="0.79998168889431442"/>
        <color theme="8" tint="0.79998168889431442"/>
      </colorScale>
    </cfRule>
  </conditionalFormatting>
  <pageMargins left="0.7" right="0.7" top="0.75" bottom="0.75" header="0.3" footer="0.3"/>
  <pageSetup paperSize="9" orientation="portrait" r:id="rId1"/>
  <headerFooter>
    <oddHeader xml:space="preserve">&amp;CСалимов Даниил Рамильевич
2 группа, 2 подгруппа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Задача 1</vt:lpstr>
      <vt:lpstr>Задача 2</vt:lpstr>
      <vt:lpstr>Задача 3</vt:lpstr>
      <vt:lpstr>Задача 4</vt:lpstr>
      <vt:lpstr>Задача 5</vt:lpstr>
      <vt:lpstr>Задача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psm</dc:creator>
  <cp:lastModifiedBy>psm</cp:lastModifiedBy>
  <dcterms:created xsi:type="dcterms:W3CDTF">2015-06-05T18:19:34Z</dcterms:created>
  <dcterms:modified xsi:type="dcterms:W3CDTF">2022-09-29T18:51:24Z</dcterms:modified>
</cp:coreProperties>
</file>