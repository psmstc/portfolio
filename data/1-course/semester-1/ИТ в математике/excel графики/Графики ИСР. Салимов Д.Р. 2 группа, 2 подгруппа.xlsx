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psm\Desktop\"/>
    </mc:Choice>
  </mc:AlternateContent>
  <xr:revisionPtr revIDLastSave="0" documentId="13_ncr:1_{A2B88559-206B-4AC2-9780-1217C9D439E7}" xr6:coauthVersionLast="45" xr6:coauthVersionMax="45" xr10:uidLastSave="{00000000-0000-0000-0000-000000000000}"/>
  <bookViews>
    <workbookView xWindow="-108" yWindow="-108" windowWidth="22140" windowHeight="13176" xr2:uid="{00000000-000D-0000-FFFF-FFFF00000000}"/>
  </bookViews>
  <sheets>
    <sheet name="Задание 2.1" sheetId="1" r:id="rId1"/>
    <sheet name="Задание 2.2" sheetId="2" r:id="rId2"/>
    <sheet name="Задание 2.2 (2 часть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15" i="3" l="1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B2" i="2"/>
  <c r="L5" i="2"/>
  <c r="F3" i="2"/>
  <c r="C2" i="2"/>
  <c r="D2" i="2"/>
  <c r="E2" i="2"/>
  <c r="F2" i="2"/>
  <c r="G2" i="2"/>
  <c r="H2" i="2"/>
  <c r="I2" i="2"/>
  <c r="J2" i="2"/>
  <c r="K2" i="2"/>
  <c r="L2" i="2"/>
  <c r="M2" i="2"/>
  <c r="N2" i="2"/>
  <c r="O2" i="2"/>
  <c r="C3" i="2"/>
  <c r="D3" i="2"/>
  <c r="E3" i="2"/>
  <c r="G3" i="2"/>
  <c r="H3" i="2"/>
  <c r="I3" i="2"/>
  <c r="J3" i="2"/>
  <c r="K3" i="2"/>
  <c r="L3" i="2"/>
  <c r="M3" i="2"/>
  <c r="N3" i="2"/>
  <c r="O3" i="2"/>
  <c r="C4" i="2"/>
  <c r="D4" i="2"/>
  <c r="E4" i="2"/>
  <c r="F4" i="2"/>
  <c r="G4" i="2"/>
  <c r="H4" i="2"/>
  <c r="I4" i="2"/>
  <c r="J4" i="2"/>
  <c r="K4" i="2"/>
  <c r="L4" i="2"/>
  <c r="M4" i="2"/>
  <c r="N4" i="2"/>
  <c r="O4" i="2"/>
  <c r="C5" i="2"/>
  <c r="D5" i="2"/>
  <c r="E5" i="2"/>
  <c r="F5" i="2"/>
  <c r="G5" i="2"/>
  <c r="H5" i="2"/>
  <c r="I5" i="2"/>
  <c r="J5" i="2"/>
  <c r="K5" i="2"/>
  <c r="M5" i="2"/>
  <c r="N5" i="2"/>
  <c r="O5" i="2"/>
  <c r="C6" i="2"/>
  <c r="D6" i="2"/>
  <c r="E6" i="2"/>
  <c r="F6" i="2"/>
  <c r="G6" i="2"/>
  <c r="H6" i="2"/>
  <c r="I6" i="2"/>
  <c r="J6" i="2"/>
  <c r="K6" i="2"/>
  <c r="L6" i="2"/>
  <c r="M6" i="2"/>
  <c r="N6" i="2"/>
  <c r="O6" i="2"/>
  <c r="C7" i="2"/>
  <c r="D7" i="2"/>
  <c r="E7" i="2"/>
  <c r="F7" i="2"/>
  <c r="G7" i="2"/>
  <c r="H7" i="2"/>
  <c r="I7" i="2"/>
  <c r="J7" i="2"/>
  <c r="K7" i="2"/>
  <c r="L7" i="2"/>
  <c r="M7" i="2"/>
  <c r="N7" i="2"/>
  <c r="O7" i="2"/>
  <c r="C8" i="2"/>
  <c r="D8" i="2"/>
  <c r="E8" i="2"/>
  <c r="F8" i="2"/>
  <c r="G8" i="2"/>
  <c r="H8" i="2"/>
  <c r="I8" i="2"/>
  <c r="J8" i="2"/>
  <c r="K8" i="2"/>
  <c r="L8" i="2"/>
  <c r="M8" i="2"/>
  <c r="N8" i="2"/>
  <c r="O8" i="2"/>
  <c r="C9" i="2"/>
  <c r="D9" i="2"/>
  <c r="E9" i="2"/>
  <c r="F9" i="2"/>
  <c r="G9" i="2"/>
  <c r="H9" i="2"/>
  <c r="I9" i="2"/>
  <c r="J9" i="2"/>
  <c r="K9" i="2"/>
  <c r="L9" i="2"/>
  <c r="M9" i="2"/>
  <c r="N9" i="2"/>
  <c r="O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C64" i="1"/>
  <c r="D64" i="1"/>
  <c r="E64" i="1"/>
  <c r="F64" i="1"/>
  <c r="G64" i="1"/>
  <c r="H64" i="1"/>
  <c r="I64" i="1"/>
  <c r="J64" i="1"/>
  <c r="K64" i="1"/>
  <c r="L64" i="1"/>
  <c r="B64" i="1"/>
  <c r="B61" i="1"/>
  <c r="B60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B45" i="1"/>
  <c r="B42" i="1"/>
  <c r="B41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B24" i="1"/>
  <c r="B21" i="1"/>
  <c r="J5" i="1"/>
  <c r="C5" i="1"/>
  <c r="D5" i="1"/>
  <c r="E5" i="1"/>
  <c r="F5" i="1"/>
  <c r="G5" i="1"/>
  <c r="H5" i="1"/>
  <c r="I5" i="1"/>
  <c r="K5" i="1"/>
  <c r="L5" i="1"/>
  <c r="B5" i="1"/>
</calcChain>
</file>

<file path=xl/sharedStrings.xml><?xml version="1.0" encoding="utf-8"?>
<sst xmlns="http://schemas.openxmlformats.org/spreadsheetml/2006/main" count="22" uniqueCount="6">
  <si>
    <t>a</t>
  </si>
  <si>
    <t>b</t>
  </si>
  <si>
    <t>x</t>
  </si>
  <si>
    <t>y</t>
  </si>
  <si>
    <t>c</t>
  </si>
  <si>
    <t>Вывод: чем меньше разница между коэффицентами a и b, тем более выгнутая парабола. Однако при слишкой большой разнице, это выпуклкость становится снова незаметной, как при одинаковых значениях коэффицентов.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</si>
</sst>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164" fontId="1" fillId="2" borderId="0" xfId="0" applyNumberFormat="1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 = |a/b</a:t>
            </a:r>
            <a:r>
              <a:rPr lang="en-US" baseline="0"/>
              <a:t> + |x||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'Задание 2.1'!$A$5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2.1'!$B$4:$L$4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'Задание 2.1'!$B$5:$L$5</c:f>
              <c:numCache>
                <c:formatCode>General</c:formatCode>
                <c:ptCount val="11"/>
                <c:pt idx="0">
                  <c:v>7.545454545454545</c:v>
                </c:pt>
                <c:pt idx="1">
                  <c:v>6.545454545454545</c:v>
                </c:pt>
                <c:pt idx="2">
                  <c:v>5.545454545454545</c:v>
                </c:pt>
                <c:pt idx="3">
                  <c:v>4.545454545454545</c:v>
                </c:pt>
                <c:pt idx="4">
                  <c:v>3.5454545454545454</c:v>
                </c:pt>
                <c:pt idx="5">
                  <c:v>2.5454545454545454</c:v>
                </c:pt>
                <c:pt idx="6">
                  <c:v>3.5454545454545454</c:v>
                </c:pt>
                <c:pt idx="7">
                  <c:v>4.545454545454545</c:v>
                </c:pt>
                <c:pt idx="8">
                  <c:v>5.545454545454545</c:v>
                </c:pt>
                <c:pt idx="9">
                  <c:v>6.545454545454545</c:v>
                </c:pt>
                <c:pt idx="10">
                  <c:v>7.545454545454545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4A-4CEC-A0A3-BEFD54B8D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16607"/>
        <c:axId val="60741247"/>
      </c:scatterChart>
      <c:valAx>
        <c:axId val="5791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741247"/>
        <c:crosses val="autoZero"/>
        <c:crossBetween val="midCat"/>
      </c:valAx>
      <c:valAx>
        <c:axId val="6074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916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 = a*x^2</a:t>
            </a:r>
            <a:r>
              <a:rPr lang="en-US" baseline="0"/>
              <a:t> + b * x + 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'Задание 2.1'!$A$24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2.1'!$B$23:$S$23</c:f>
              <c:numCache>
                <c:formatCode>0.0</c:formatCode>
                <c:ptCount val="18"/>
                <c:pt idx="0">
                  <c:v>-4.5</c:v>
                </c:pt>
                <c:pt idx="1">
                  <c:v>-4</c:v>
                </c:pt>
                <c:pt idx="2">
                  <c:v>-3.5</c:v>
                </c:pt>
                <c:pt idx="3">
                  <c:v>-3</c:v>
                </c:pt>
                <c:pt idx="4">
                  <c:v>-2.5</c:v>
                </c:pt>
                <c:pt idx="5">
                  <c:v>-2</c:v>
                </c:pt>
                <c:pt idx="6">
                  <c:v>-1.5</c:v>
                </c:pt>
                <c:pt idx="7">
                  <c:v>-1</c:v>
                </c:pt>
                <c:pt idx="8">
                  <c:v>-0.5</c:v>
                </c:pt>
                <c:pt idx="9">
                  <c:v>0</c:v>
                </c:pt>
                <c:pt idx="10">
                  <c:v>0.5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2.5</c:v>
                </c:pt>
                <c:pt idx="15">
                  <c:v>3</c:v>
                </c:pt>
                <c:pt idx="16">
                  <c:v>3.5</c:v>
                </c:pt>
                <c:pt idx="17">
                  <c:v>4</c:v>
                </c:pt>
              </c:numCache>
            </c:numRef>
          </c:xVal>
          <c:yVal>
            <c:numRef>
              <c:f>'Задание 2.1'!$B$24:$S$24</c:f>
              <c:numCache>
                <c:formatCode>0.0</c:formatCode>
                <c:ptCount val="18"/>
                <c:pt idx="0">
                  <c:v>418</c:v>
                </c:pt>
                <c:pt idx="1">
                  <c:v>328</c:v>
                </c:pt>
                <c:pt idx="2">
                  <c:v>249</c:v>
                </c:pt>
                <c:pt idx="3">
                  <c:v>181</c:v>
                </c:pt>
                <c:pt idx="4">
                  <c:v>124</c:v>
                </c:pt>
                <c:pt idx="5">
                  <c:v>78</c:v>
                </c:pt>
                <c:pt idx="6">
                  <c:v>43</c:v>
                </c:pt>
                <c:pt idx="7">
                  <c:v>19</c:v>
                </c:pt>
                <c:pt idx="8">
                  <c:v>6</c:v>
                </c:pt>
                <c:pt idx="9">
                  <c:v>4</c:v>
                </c:pt>
                <c:pt idx="10">
                  <c:v>13</c:v>
                </c:pt>
                <c:pt idx="11">
                  <c:v>33</c:v>
                </c:pt>
                <c:pt idx="12">
                  <c:v>64</c:v>
                </c:pt>
                <c:pt idx="13">
                  <c:v>106</c:v>
                </c:pt>
                <c:pt idx="14">
                  <c:v>159</c:v>
                </c:pt>
                <c:pt idx="15">
                  <c:v>223</c:v>
                </c:pt>
                <c:pt idx="16">
                  <c:v>298</c:v>
                </c:pt>
                <c:pt idx="17">
                  <c:v>384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40-4FA3-BA43-683F5C19C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734927"/>
        <c:axId val="220251599"/>
      </c:scatterChart>
      <c:valAx>
        <c:axId val="22973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0251599"/>
        <c:crosses val="autoZero"/>
        <c:crossBetween val="midCat"/>
      </c:valAx>
      <c:valAx>
        <c:axId val="22025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9734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</a:t>
            </a:r>
            <a:r>
              <a:rPr lang="en-US" baseline="0"/>
              <a:t> = |-5*x^2+b*x+c|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2.1'!$B$44:$AK$44</c:f>
              <c:numCache>
                <c:formatCode>General</c:formatCode>
                <c:ptCount val="36"/>
                <c:pt idx="0">
                  <c:v>-4.5</c:v>
                </c:pt>
                <c:pt idx="1">
                  <c:v>-4</c:v>
                </c:pt>
                <c:pt idx="2">
                  <c:v>-3.5</c:v>
                </c:pt>
                <c:pt idx="3">
                  <c:v>-3</c:v>
                </c:pt>
                <c:pt idx="4">
                  <c:v>-2.5</c:v>
                </c:pt>
                <c:pt idx="5">
                  <c:v>-2</c:v>
                </c:pt>
                <c:pt idx="6">
                  <c:v>-1.5</c:v>
                </c:pt>
                <c:pt idx="7">
                  <c:v>-1</c:v>
                </c:pt>
                <c:pt idx="8">
                  <c:v>-0.5</c:v>
                </c:pt>
                <c:pt idx="9">
                  <c:v>0</c:v>
                </c:pt>
                <c:pt idx="10">
                  <c:v>0.5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2.5</c:v>
                </c:pt>
                <c:pt idx="15">
                  <c:v>3</c:v>
                </c:pt>
                <c:pt idx="16">
                  <c:v>3.5</c:v>
                </c:pt>
                <c:pt idx="17">
                  <c:v>4</c:v>
                </c:pt>
                <c:pt idx="18">
                  <c:v>4.5</c:v>
                </c:pt>
                <c:pt idx="19">
                  <c:v>5</c:v>
                </c:pt>
                <c:pt idx="20">
                  <c:v>5.5</c:v>
                </c:pt>
                <c:pt idx="21">
                  <c:v>6</c:v>
                </c:pt>
                <c:pt idx="22">
                  <c:v>6.5</c:v>
                </c:pt>
                <c:pt idx="23">
                  <c:v>7</c:v>
                </c:pt>
                <c:pt idx="24">
                  <c:v>7.5</c:v>
                </c:pt>
                <c:pt idx="25">
                  <c:v>8</c:v>
                </c:pt>
                <c:pt idx="26">
                  <c:v>8.5</c:v>
                </c:pt>
                <c:pt idx="27">
                  <c:v>9</c:v>
                </c:pt>
                <c:pt idx="28">
                  <c:v>9.5</c:v>
                </c:pt>
                <c:pt idx="29">
                  <c:v>10</c:v>
                </c:pt>
                <c:pt idx="30">
                  <c:v>10.5</c:v>
                </c:pt>
                <c:pt idx="31">
                  <c:v>11</c:v>
                </c:pt>
                <c:pt idx="32">
                  <c:v>11.5</c:v>
                </c:pt>
                <c:pt idx="33">
                  <c:v>12</c:v>
                </c:pt>
                <c:pt idx="34">
                  <c:v>12.5</c:v>
                </c:pt>
                <c:pt idx="35">
                  <c:v>13</c:v>
                </c:pt>
              </c:numCache>
            </c:numRef>
          </c:xVal>
          <c:yVal>
            <c:numRef>
              <c:f>'Задание 2.1'!$B$45:$AK$45</c:f>
              <c:numCache>
                <c:formatCode>General</c:formatCode>
                <c:ptCount val="36"/>
                <c:pt idx="0">
                  <c:v>107.25</c:v>
                </c:pt>
                <c:pt idx="1">
                  <c:v>142.66666666666669</c:v>
                </c:pt>
                <c:pt idx="2">
                  <c:v>175.58333333333334</c:v>
                </c:pt>
                <c:pt idx="3">
                  <c:v>206</c:v>
                </c:pt>
                <c:pt idx="4">
                  <c:v>233.91666666666669</c:v>
                </c:pt>
                <c:pt idx="5">
                  <c:v>259.33333333333337</c:v>
                </c:pt>
                <c:pt idx="6">
                  <c:v>282.25</c:v>
                </c:pt>
                <c:pt idx="7">
                  <c:v>302.66666666666669</c:v>
                </c:pt>
                <c:pt idx="8">
                  <c:v>320.58333333333331</c:v>
                </c:pt>
                <c:pt idx="9">
                  <c:v>336</c:v>
                </c:pt>
                <c:pt idx="10">
                  <c:v>348.91666666666669</c:v>
                </c:pt>
                <c:pt idx="11">
                  <c:v>359.33333333333331</c:v>
                </c:pt>
                <c:pt idx="12">
                  <c:v>367.25</c:v>
                </c:pt>
                <c:pt idx="13">
                  <c:v>372.66666666666669</c:v>
                </c:pt>
                <c:pt idx="14">
                  <c:v>375.58333333333331</c:v>
                </c:pt>
                <c:pt idx="15">
                  <c:v>376</c:v>
                </c:pt>
                <c:pt idx="16">
                  <c:v>373.91666666666663</c:v>
                </c:pt>
                <c:pt idx="17">
                  <c:v>369.33333333333331</c:v>
                </c:pt>
                <c:pt idx="18">
                  <c:v>362.25</c:v>
                </c:pt>
                <c:pt idx="19">
                  <c:v>352.66666666666663</c:v>
                </c:pt>
                <c:pt idx="20">
                  <c:v>340.58333333333331</c:v>
                </c:pt>
                <c:pt idx="21">
                  <c:v>326</c:v>
                </c:pt>
                <c:pt idx="22">
                  <c:v>308.91666666666663</c:v>
                </c:pt>
                <c:pt idx="23">
                  <c:v>289.33333333333331</c:v>
                </c:pt>
                <c:pt idx="24">
                  <c:v>267.25</c:v>
                </c:pt>
                <c:pt idx="25">
                  <c:v>242.66666666666666</c:v>
                </c:pt>
                <c:pt idx="26">
                  <c:v>215.58333333333331</c:v>
                </c:pt>
                <c:pt idx="27">
                  <c:v>186</c:v>
                </c:pt>
                <c:pt idx="28">
                  <c:v>153.91666666666663</c:v>
                </c:pt>
                <c:pt idx="29">
                  <c:v>119.33333333333331</c:v>
                </c:pt>
                <c:pt idx="30">
                  <c:v>82.25</c:v>
                </c:pt>
                <c:pt idx="31">
                  <c:v>42.666666666666629</c:v>
                </c:pt>
                <c:pt idx="32">
                  <c:v>0.58333333333331439</c:v>
                </c:pt>
                <c:pt idx="33">
                  <c:v>44</c:v>
                </c:pt>
                <c:pt idx="34">
                  <c:v>91.083333333333371</c:v>
                </c:pt>
                <c:pt idx="35">
                  <c:v>140.66666666666669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D0-47C2-B69E-EA459FB96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712111"/>
        <c:axId val="269709151"/>
      </c:scatterChart>
      <c:valAx>
        <c:axId val="191371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9709151"/>
        <c:crosses val="autoZero"/>
        <c:crossBetween val="midCat"/>
      </c:valAx>
      <c:valAx>
        <c:axId val="26970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3712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</a:t>
            </a:r>
            <a:r>
              <a:rPr lang="en-US" baseline="0"/>
              <a:t> = log(a,b)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2.1'!$B$63:$L$63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'Задание 2.1'!$B$64:$L$64</c:f>
              <c:numCache>
                <c:formatCode>General</c:formatCode>
                <c:ptCount val="11"/>
                <c:pt idx="0">
                  <c:v>1.0132531593603606</c:v>
                </c:pt>
                <c:pt idx="1">
                  <c:v>1.0132531593603606</c:v>
                </c:pt>
                <c:pt idx="2">
                  <c:v>1.0132531593603606</c:v>
                </c:pt>
                <c:pt idx="3">
                  <c:v>1.0132531593603606</c:v>
                </c:pt>
                <c:pt idx="4">
                  <c:v>1.0132531593603606</c:v>
                </c:pt>
                <c:pt idx="5">
                  <c:v>1.0132531593603606</c:v>
                </c:pt>
                <c:pt idx="6">
                  <c:v>1.0132531593603606</c:v>
                </c:pt>
                <c:pt idx="7">
                  <c:v>1.0132531593603606</c:v>
                </c:pt>
                <c:pt idx="8">
                  <c:v>1.0132531593603606</c:v>
                </c:pt>
                <c:pt idx="9">
                  <c:v>1.0132531593603606</c:v>
                </c:pt>
                <c:pt idx="10">
                  <c:v>1.0132531593603606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6C-4AB0-B41F-C08B9DFC4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479535"/>
        <c:axId val="220251183"/>
      </c:scatterChart>
      <c:valAx>
        <c:axId val="5547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0251183"/>
        <c:crosses val="autoZero"/>
        <c:crossBetween val="midCat"/>
      </c:valAx>
      <c:valAx>
        <c:axId val="22025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479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Эллиптический</a:t>
            </a:r>
            <a:r>
              <a:rPr lang="ru-RU" baseline="0"/>
              <a:t> парабалоид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2741306272886099E-2"/>
          <c:y val="0.18259157260514849"/>
          <c:w val="0.87201652984866251"/>
          <c:h val="0.74306323778493222"/>
        </c:manualLayout>
      </c:layout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'Задание 2.2'!$B$2:$O$2</c:f>
              <c:numCache>
                <c:formatCode>General</c:formatCode>
                <c:ptCount val="14"/>
                <c:pt idx="0">
                  <c:v>325</c:v>
                </c:pt>
                <c:pt idx="1">
                  <c:v>306</c:v>
                </c:pt>
                <c:pt idx="2">
                  <c:v>289</c:v>
                </c:pt>
                <c:pt idx="3">
                  <c:v>274</c:v>
                </c:pt>
                <c:pt idx="4">
                  <c:v>261</c:v>
                </c:pt>
                <c:pt idx="5">
                  <c:v>250</c:v>
                </c:pt>
                <c:pt idx="6">
                  <c:v>241</c:v>
                </c:pt>
                <c:pt idx="7">
                  <c:v>234</c:v>
                </c:pt>
                <c:pt idx="8">
                  <c:v>229</c:v>
                </c:pt>
                <c:pt idx="9">
                  <c:v>226</c:v>
                </c:pt>
                <c:pt idx="10">
                  <c:v>225</c:v>
                </c:pt>
                <c:pt idx="11">
                  <c:v>226</c:v>
                </c:pt>
                <c:pt idx="12">
                  <c:v>229</c:v>
                </c:pt>
                <c:pt idx="13">
                  <c:v>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1-42DC-B524-EA611182F1FA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'Задание 2.2'!$B$3:$O$3</c:f>
              <c:numCache>
                <c:formatCode>General</c:formatCode>
                <c:ptCount val="14"/>
                <c:pt idx="0">
                  <c:v>269</c:v>
                </c:pt>
                <c:pt idx="1">
                  <c:v>250</c:v>
                </c:pt>
                <c:pt idx="2">
                  <c:v>233</c:v>
                </c:pt>
                <c:pt idx="3">
                  <c:v>218</c:v>
                </c:pt>
                <c:pt idx="4">
                  <c:v>205</c:v>
                </c:pt>
                <c:pt idx="5">
                  <c:v>194</c:v>
                </c:pt>
                <c:pt idx="6">
                  <c:v>185</c:v>
                </c:pt>
                <c:pt idx="7">
                  <c:v>178</c:v>
                </c:pt>
                <c:pt idx="8">
                  <c:v>173</c:v>
                </c:pt>
                <c:pt idx="9">
                  <c:v>170</c:v>
                </c:pt>
                <c:pt idx="10">
                  <c:v>169</c:v>
                </c:pt>
                <c:pt idx="11">
                  <c:v>170</c:v>
                </c:pt>
                <c:pt idx="12">
                  <c:v>173</c:v>
                </c:pt>
                <c:pt idx="13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C1-42DC-B524-EA611182F1FA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'Задание 2.2'!$B$4:$O$4</c:f>
              <c:numCache>
                <c:formatCode>General</c:formatCode>
                <c:ptCount val="14"/>
                <c:pt idx="0">
                  <c:v>221</c:v>
                </c:pt>
                <c:pt idx="1">
                  <c:v>202</c:v>
                </c:pt>
                <c:pt idx="2">
                  <c:v>185</c:v>
                </c:pt>
                <c:pt idx="3">
                  <c:v>170</c:v>
                </c:pt>
                <c:pt idx="4">
                  <c:v>157</c:v>
                </c:pt>
                <c:pt idx="5">
                  <c:v>146</c:v>
                </c:pt>
                <c:pt idx="6">
                  <c:v>137</c:v>
                </c:pt>
                <c:pt idx="7">
                  <c:v>130</c:v>
                </c:pt>
                <c:pt idx="8">
                  <c:v>125</c:v>
                </c:pt>
                <c:pt idx="9">
                  <c:v>122</c:v>
                </c:pt>
                <c:pt idx="10">
                  <c:v>121</c:v>
                </c:pt>
                <c:pt idx="11">
                  <c:v>122</c:v>
                </c:pt>
                <c:pt idx="12">
                  <c:v>125</c:v>
                </c:pt>
                <c:pt idx="13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C1-42DC-B524-EA611182F1FA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'Задание 2.2'!$B$5:$O$5</c:f>
              <c:numCache>
                <c:formatCode>General</c:formatCode>
                <c:ptCount val="14"/>
                <c:pt idx="0">
                  <c:v>181</c:v>
                </c:pt>
                <c:pt idx="1">
                  <c:v>162</c:v>
                </c:pt>
                <c:pt idx="2">
                  <c:v>145</c:v>
                </c:pt>
                <c:pt idx="3">
                  <c:v>130</c:v>
                </c:pt>
                <c:pt idx="4">
                  <c:v>117</c:v>
                </c:pt>
                <c:pt idx="5">
                  <c:v>106</c:v>
                </c:pt>
                <c:pt idx="6">
                  <c:v>97</c:v>
                </c:pt>
                <c:pt idx="7">
                  <c:v>90</c:v>
                </c:pt>
                <c:pt idx="8">
                  <c:v>85</c:v>
                </c:pt>
                <c:pt idx="9">
                  <c:v>82</c:v>
                </c:pt>
                <c:pt idx="10">
                  <c:v>81</c:v>
                </c:pt>
                <c:pt idx="11">
                  <c:v>82</c:v>
                </c:pt>
                <c:pt idx="12">
                  <c:v>85</c:v>
                </c:pt>
                <c:pt idx="1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C1-42DC-B524-EA611182F1FA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'Задание 2.2'!$B$6:$O$6</c:f>
              <c:numCache>
                <c:formatCode>General</c:formatCode>
                <c:ptCount val="14"/>
                <c:pt idx="0">
                  <c:v>149</c:v>
                </c:pt>
                <c:pt idx="1">
                  <c:v>130</c:v>
                </c:pt>
                <c:pt idx="2">
                  <c:v>113</c:v>
                </c:pt>
                <c:pt idx="3">
                  <c:v>98</c:v>
                </c:pt>
                <c:pt idx="4">
                  <c:v>85</c:v>
                </c:pt>
                <c:pt idx="5">
                  <c:v>74</c:v>
                </c:pt>
                <c:pt idx="6">
                  <c:v>65</c:v>
                </c:pt>
                <c:pt idx="7">
                  <c:v>58</c:v>
                </c:pt>
                <c:pt idx="8">
                  <c:v>53</c:v>
                </c:pt>
                <c:pt idx="9">
                  <c:v>50</c:v>
                </c:pt>
                <c:pt idx="10">
                  <c:v>49</c:v>
                </c:pt>
                <c:pt idx="11">
                  <c:v>50</c:v>
                </c:pt>
                <c:pt idx="12">
                  <c:v>53</c:v>
                </c:pt>
                <c:pt idx="13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C1-42DC-B524-EA611182F1FA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'Задание 2.2'!$B$7:$O$7</c:f>
              <c:numCache>
                <c:formatCode>General</c:formatCode>
                <c:ptCount val="14"/>
                <c:pt idx="0">
                  <c:v>125</c:v>
                </c:pt>
                <c:pt idx="1">
                  <c:v>106</c:v>
                </c:pt>
                <c:pt idx="2">
                  <c:v>89</c:v>
                </c:pt>
                <c:pt idx="3">
                  <c:v>74</c:v>
                </c:pt>
                <c:pt idx="4">
                  <c:v>61</c:v>
                </c:pt>
                <c:pt idx="5">
                  <c:v>50</c:v>
                </c:pt>
                <c:pt idx="6">
                  <c:v>41</c:v>
                </c:pt>
                <c:pt idx="7">
                  <c:v>34</c:v>
                </c:pt>
                <c:pt idx="8">
                  <c:v>29</c:v>
                </c:pt>
                <c:pt idx="9">
                  <c:v>26</c:v>
                </c:pt>
                <c:pt idx="10">
                  <c:v>25</c:v>
                </c:pt>
                <c:pt idx="11">
                  <c:v>26</c:v>
                </c:pt>
                <c:pt idx="12">
                  <c:v>29</c:v>
                </c:pt>
                <c:pt idx="1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3C1-42DC-B524-EA611182F1FA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'Задание 2.2'!$B$8:$O$8</c:f>
              <c:numCache>
                <c:formatCode>General</c:formatCode>
                <c:ptCount val="14"/>
                <c:pt idx="0">
                  <c:v>109</c:v>
                </c:pt>
                <c:pt idx="1">
                  <c:v>90</c:v>
                </c:pt>
                <c:pt idx="2">
                  <c:v>73</c:v>
                </c:pt>
                <c:pt idx="3">
                  <c:v>58</c:v>
                </c:pt>
                <c:pt idx="4">
                  <c:v>45</c:v>
                </c:pt>
                <c:pt idx="5">
                  <c:v>34</c:v>
                </c:pt>
                <c:pt idx="6">
                  <c:v>25</c:v>
                </c:pt>
                <c:pt idx="7">
                  <c:v>18</c:v>
                </c:pt>
                <c:pt idx="8">
                  <c:v>13</c:v>
                </c:pt>
                <c:pt idx="9">
                  <c:v>10</c:v>
                </c:pt>
                <c:pt idx="10">
                  <c:v>9</c:v>
                </c:pt>
                <c:pt idx="11">
                  <c:v>10</c:v>
                </c:pt>
                <c:pt idx="12">
                  <c:v>13</c:v>
                </c:pt>
                <c:pt idx="1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C1-42DC-B524-EA611182F1FA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'Задание 2.2'!$B$9:$O$9</c:f>
              <c:numCache>
                <c:formatCode>General</c:formatCode>
                <c:ptCount val="14"/>
                <c:pt idx="0">
                  <c:v>101</c:v>
                </c:pt>
                <c:pt idx="1">
                  <c:v>82</c:v>
                </c:pt>
                <c:pt idx="2">
                  <c:v>65</c:v>
                </c:pt>
                <c:pt idx="3">
                  <c:v>50</c:v>
                </c:pt>
                <c:pt idx="4">
                  <c:v>37</c:v>
                </c:pt>
                <c:pt idx="5">
                  <c:v>26</c:v>
                </c:pt>
                <c:pt idx="6">
                  <c:v>17</c:v>
                </c:pt>
                <c:pt idx="7">
                  <c:v>10</c:v>
                </c:pt>
                <c:pt idx="8">
                  <c:v>5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5</c:v>
                </c:pt>
                <c:pt idx="1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3C1-42DC-B524-EA611182F1FA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'Задание 2.2'!$B$10:$O$10</c:f>
              <c:numCache>
                <c:formatCode>General</c:formatCode>
                <c:ptCount val="14"/>
                <c:pt idx="0">
                  <c:v>101</c:v>
                </c:pt>
                <c:pt idx="1">
                  <c:v>82</c:v>
                </c:pt>
                <c:pt idx="2">
                  <c:v>65</c:v>
                </c:pt>
                <c:pt idx="3">
                  <c:v>50</c:v>
                </c:pt>
                <c:pt idx="4">
                  <c:v>37</c:v>
                </c:pt>
                <c:pt idx="5">
                  <c:v>26</c:v>
                </c:pt>
                <c:pt idx="6">
                  <c:v>17</c:v>
                </c:pt>
                <c:pt idx="7">
                  <c:v>10</c:v>
                </c:pt>
                <c:pt idx="8">
                  <c:v>5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5</c:v>
                </c:pt>
                <c:pt idx="1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3C1-42DC-B524-EA611182F1FA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'Задание 2.2'!$B$11:$O$11</c:f>
              <c:numCache>
                <c:formatCode>General</c:formatCode>
                <c:ptCount val="14"/>
                <c:pt idx="0">
                  <c:v>109</c:v>
                </c:pt>
                <c:pt idx="1">
                  <c:v>90</c:v>
                </c:pt>
                <c:pt idx="2">
                  <c:v>73</c:v>
                </c:pt>
                <c:pt idx="3">
                  <c:v>58</c:v>
                </c:pt>
                <c:pt idx="4">
                  <c:v>45</c:v>
                </c:pt>
                <c:pt idx="5">
                  <c:v>34</c:v>
                </c:pt>
                <c:pt idx="6">
                  <c:v>25</c:v>
                </c:pt>
                <c:pt idx="7">
                  <c:v>18</c:v>
                </c:pt>
                <c:pt idx="8">
                  <c:v>13</c:v>
                </c:pt>
                <c:pt idx="9">
                  <c:v>10</c:v>
                </c:pt>
                <c:pt idx="10">
                  <c:v>9</c:v>
                </c:pt>
                <c:pt idx="11">
                  <c:v>10</c:v>
                </c:pt>
                <c:pt idx="12">
                  <c:v>13</c:v>
                </c:pt>
                <c:pt idx="1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3C1-42DC-B524-EA611182F1FA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'Задание 2.2'!$B$12:$O$12</c:f>
              <c:numCache>
                <c:formatCode>General</c:formatCode>
                <c:ptCount val="14"/>
                <c:pt idx="0">
                  <c:v>125</c:v>
                </c:pt>
                <c:pt idx="1">
                  <c:v>106</c:v>
                </c:pt>
                <c:pt idx="2">
                  <c:v>89</c:v>
                </c:pt>
                <c:pt idx="3">
                  <c:v>74</c:v>
                </c:pt>
                <c:pt idx="4">
                  <c:v>61</c:v>
                </c:pt>
                <c:pt idx="5">
                  <c:v>50</c:v>
                </c:pt>
                <c:pt idx="6">
                  <c:v>41</c:v>
                </c:pt>
                <c:pt idx="7">
                  <c:v>34</c:v>
                </c:pt>
                <c:pt idx="8">
                  <c:v>29</c:v>
                </c:pt>
                <c:pt idx="9">
                  <c:v>26</c:v>
                </c:pt>
                <c:pt idx="10">
                  <c:v>25</c:v>
                </c:pt>
                <c:pt idx="11">
                  <c:v>26</c:v>
                </c:pt>
                <c:pt idx="12">
                  <c:v>29</c:v>
                </c:pt>
                <c:pt idx="1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3C1-42DC-B524-EA611182F1FA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'Задание 2.2'!$B$13:$O$13</c:f>
              <c:numCache>
                <c:formatCode>General</c:formatCode>
                <c:ptCount val="14"/>
                <c:pt idx="0">
                  <c:v>149</c:v>
                </c:pt>
                <c:pt idx="1">
                  <c:v>130</c:v>
                </c:pt>
                <c:pt idx="2">
                  <c:v>113</c:v>
                </c:pt>
                <c:pt idx="3">
                  <c:v>98</c:v>
                </c:pt>
                <c:pt idx="4">
                  <c:v>85</c:v>
                </c:pt>
                <c:pt idx="5">
                  <c:v>74</c:v>
                </c:pt>
                <c:pt idx="6">
                  <c:v>65</c:v>
                </c:pt>
                <c:pt idx="7">
                  <c:v>58</c:v>
                </c:pt>
                <c:pt idx="8">
                  <c:v>53</c:v>
                </c:pt>
                <c:pt idx="9">
                  <c:v>50</c:v>
                </c:pt>
                <c:pt idx="10">
                  <c:v>49</c:v>
                </c:pt>
                <c:pt idx="11">
                  <c:v>50</c:v>
                </c:pt>
                <c:pt idx="12">
                  <c:v>53</c:v>
                </c:pt>
                <c:pt idx="13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3C1-42DC-B524-EA611182F1FA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'Задание 2.2'!$B$14:$O$14</c:f>
              <c:numCache>
                <c:formatCode>General</c:formatCode>
                <c:ptCount val="14"/>
                <c:pt idx="0">
                  <c:v>181</c:v>
                </c:pt>
                <c:pt idx="1">
                  <c:v>162</c:v>
                </c:pt>
                <c:pt idx="2">
                  <c:v>145</c:v>
                </c:pt>
                <c:pt idx="3">
                  <c:v>130</c:v>
                </c:pt>
                <c:pt idx="4">
                  <c:v>117</c:v>
                </c:pt>
                <c:pt idx="5">
                  <c:v>106</c:v>
                </c:pt>
                <c:pt idx="6">
                  <c:v>97</c:v>
                </c:pt>
                <c:pt idx="7">
                  <c:v>90</c:v>
                </c:pt>
                <c:pt idx="8">
                  <c:v>85</c:v>
                </c:pt>
                <c:pt idx="9">
                  <c:v>82</c:v>
                </c:pt>
                <c:pt idx="10">
                  <c:v>81</c:v>
                </c:pt>
                <c:pt idx="11">
                  <c:v>82</c:v>
                </c:pt>
                <c:pt idx="12">
                  <c:v>85</c:v>
                </c:pt>
                <c:pt idx="1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3C1-42DC-B524-EA611182F1FA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'Задание 2.2'!$B$15:$O$15</c:f>
              <c:numCache>
                <c:formatCode>General</c:formatCode>
                <c:ptCount val="14"/>
                <c:pt idx="0">
                  <c:v>221</c:v>
                </c:pt>
                <c:pt idx="1">
                  <c:v>202</c:v>
                </c:pt>
                <c:pt idx="2">
                  <c:v>185</c:v>
                </c:pt>
                <c:pt idx="3">
                  <c:v>170</c:v>
                </c:pt>
                <c:pt idx="4">
                  <c:v>157</c:v>
                </c:pt>
                <c:pt idx="5">
                  <c:v>146</c:v>
                </c:pt>
                <c:pt idx="6">
                  <c:v>137</c:v>
                </c:pt>
                <c:pt idx="7">
                  <c:v>130</c:v>
                </c:pt>
                <c:pt idx="8">
                  <c:v>125</c:v>
                </c:pt>
                <c:pt idx="9">
                  <c:v>122</c:v>
                </c:pt>
                <c:pt idx="10">
                  <c:v>121</c:v>
                </c:pt>
                <c:pt idx="11">
                  <c:v>122</c:v>
                </c:pt>
                <c:pt idx="12">
                  <c:v>125</c:v>
                </c:pt>
                <c:pt idx="13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3C1-42DC-B524-EA611182F1FA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66705775"/>
        <c:axId val="218332159"/>
        <c:axId val="221864047"/>
      </c:surface3DChart>
      <c:catAx>
        <c:axId val="26670577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8332159"/>
        <c:crosses val="autoZero"/>
        <c:auto val="1"/>
        <c:lblAlgn val="ctr"/>
        <c:lblOffset val="100"/>
        <c:noMultiLvlLbl val="0"/>
      </c:catAx>
      <c:valAx>
        <c:axId val="21833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6705775"/>
        <c:crosses val="autoZero"/>
        <c:crossBetween val="midCat"/>
      </c:valAx>
      <c:serAx>
        <c:axId val="22186404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8332159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Эллиптический</a:t>
            </a:r>
            <a:r>
              <a:rPr lang="ru-RU" baseline="0"/>
              <a:t> парабалоид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2741306272886099E-2"/>
          <c:y val="0.18259157260514849"/>
          <c:w val="0.87201652984866251"/>
          <c:h val="0.74306323778493222"/>
        </c:manualLayout>
      </c:layout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'Задание 2.2'!$B$2:$O$2</c:f>
              <c:numCache>
                <c:formatCode>General</c:formatCode>
                <c:ptCount val="14"/>
                <c:pt idx="0">
                  <c:v>325</c:v>
                </c:pt>
                <c:pt idx="1">
                  <c:v>306</c:v>
                </c:pt>
                <c:pt idx="2">
                  <c:v>289</c:v>
                </c:pt>
                <c:pt idx="3">
                  <c:v>274</c:v>
                </c:pt>
                <c:pt idx="4">
                  <c:v>261</c:v>
                </c:pt>
                <c:pt idx="5">
                  <c:v>250</c:v>
                </c:pt>
                <c:pt idx="6">
                  <c:v>241</c:v>
                </c:pt>
                <c:pt idx="7">
                  <c:v>234</c:v>
                </c:pt>
                <c:pt idx="8">
                  <c:v>229</c:v>
                </c:pt>
                <c:pt idx="9">
                  <c:v>226</c:v>
                </c:pt>
                <c:pt idx="10">
                  <c:v>225</c:v>
                </c:pt>
                <c:pt idx="11">
                  <c:v>226</c:v>
                </c:pt>
                <c:pt idx="12">
                  <c:v>229</c:v>
                </c:pt>
                <c:pt idx="13">
                  <c:v>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18-40E5-A706-354DF5891EB1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'Задание 2.2'!$B$3:$O$3</c:f>
              <c:numCache>
                <c:formatCode>General</c:formatCode>
                <c:ptCount val="14"/>
                <c:pt idx="0">
                  <c:v>269</c:v>
                </c:pt>
                <c:pt idx="1">
                  <c:v>250</c:v>
                </c:pt>
                <c:pt idx="2">
                  <c:v>233</c:v>
                </c:pt>
                <c:pt idx="3">
                  <c:v>218</c:v>
                </c:pt>
                <c:pt idx="4">
                  <c:v>205</c:v>
                </c:pt>
                <c:pt idx="5">
                  <c:v>194</c:v>
                </c:pt>
                <c:pt idx="6">
                  <c:v>185</c:v>
                </c:pt>
                <c:pt idx="7">
                  <c:v>178</c:v>
                </c:pt>
                <c:pt idx="8">
                  <c:v>173</c:v>
                </c:pt>
                <c:pt idx="9">
                  <c:v>170</c:v>
                </c:pt>
                <c:pt idx="10">
                  <c:v>169</c:v>
                </c:pt>
                <c:pt idx="11">
                  <c:v>170</c:v>
                </c:pt>
                <c:pt idx="12">
                  <c:v>173</c:v>
                </c:pt>
                <c:pt idx="13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18-40E5-A706-354DF5891EB1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'Задание 2.2'!$B$4:$O$4</c:f>
              <c:numCache>
                <c:formatCode>General</c:formatCode>
                <c:ptCount val="14"/>
                <c:pt idx="0">
                  <c:v>221</c:v>
                </c:pt>
                <c:pt idx="1">
                  <c:v>202</c:v>
                </c:pt>
                <c:pt idx="2">
                  <c:v>185</c:v>
                </c:pt>
                <c:pt idx="3">
                  <c:v>170</c:v>
                </c:pt>
                <c:pt idx="4">
                  <c:v>157</c:v>
                </c:pt>
                <c:pt idx="5">
                  <c:v>146</c:v>
                </c:pt>
                <c:pt idx="6">
                  <c:v>137</c:v>
                </c:pt>
                <c:pt idx="7">
                  <c:v>130</c:v>
                </c:pt>
                <c:pt idx="8">
                  <c:v>125</c:v>
                </c:pt>
                <c:pt idx="9">
                  <c:v>122</c:v>
                </c:pt>
                <c:pt idx="10">
                  <c:v>121</c:v>
                </c:pt>
                <c:pt idx="11">
                  <c:v>122</c:v>
                </c:pt>
                <c:pt idx="12">
                  <c:v>125</c:v>
                </c:pt>
                <c:pt idx="13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18-40E5-A706-354DF5891EB1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'Задание 2.2'!$B$5:$O$5</c:f>
              <c:numCache>
                <c:formatCode>General</c:formatCode>
                <c:ptCount val="14"/>
                <c:pt idx="0">
                  <c:v>181</c:v>
                </c:pt>
                <c:pt idx="1">
                  <c:v>162</c:v>
                </c:pt>
                <c:pt idx="2">
                  <c:v>145</c:v>
                </c:pt>
                <c:pt idx="3">
                  <c:v>130</c:v>
                </c:pt>
                <c:pt idx="4">
                  <c:v>117</c:v>
                </c:pt>
                <c:pt idx="5">
                  <c:v>106</c:v>
                </c:pt>
                <c:pt idx="6">
                  <c:v>97</c:v>
                </c:pt>
                <c:pt idx="7">
                  <c:v>90</c:v>
                </c:pt>
                <c:pt idx="8">
                  <c:v>85</c:v>
                </c:pt>
                <c:pt idx="9">
                  <c:v>82</c:v>
                </c:pt>
                <c:pt idx="10">
                  <c:v>81</c:v>
                </c:pt>
                <c:pt idx="11">
                  <c:v>82</c:v>
                </c:pt>
                <c:pt idx="12">
                  <c:v>85</c:v>
                </c:pt>
                <c:pt idx="1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18-40E5-A706-354DF5891EB1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'Задание 2.2'!$B$6:$O$6</c:f>
              <c:numCache>
                <c:formatCode>General</c:formatCode>
                <c:ptCount val="14"/>
                <c:pt idx="0">
                  <c:v>149</c:v>
                </c:pt>
                <c:pt idx="1">
                  <c:v>130</c:v>
                </c:pt>
                <c:pt idx="2">
                  <c:v>113</c:v>
                </c:pt>
                <c:pt idx="3">
                  <c:v>98</c:v>
                </c:pt>
                <c:pt idx="4">
                  <c:v>85</c:v>
                </c:pt>
                <c:pt idx="5">
                  <c:v>74</c:v>
                </c:pt>
                <c:pt idx="6">
                  <c:v>65</c:v>
                </c:pt>
                <c:pt idx="7">
                  <c:v>58</c:v>
                </c:pt>
                <c:pt idx="8">
                  <c:v>53</c:v>
                </c:pt>
                <c:pt idx="9">
                  <c:v>50</c:v>
                </c:pt>
                <c:pt idx="10">
                  <c:v>49</c:v>
                </c:pt>
                <c:pt idx="11">
                  <c:v>50</c:v>
                </c:pt>
                <c:pt idx="12">
                  <c:v>53</c:v>
                </c:pt>
                <c:pt idx="13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18-40E5-A706-354DF5891EB1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'Задание 2.2'!$B$7:$O$7</c:f>
              <c:numCache>
                <c:formatCode>General</c:formatCode>
                <c:ptCount val="14"/>
                <c:pt idx="0">
                  <c:v>125</c:v>
                </c:pt>
                <c:pt idx="1">
                  <c:v>106</c:v>
                </c:pt>
                <c:pt idx="2">
                  <c:v>89</c:v>
                </c:pt>
                <c:pt idx="3">
                  <c:v>74</c:v>
                </c:pt>
                <c:pt idx="4">
                  <c:v>61</c:v>
                </c:pt>
                <c:pt idx="5">
                  <c:v>50</c:v>
                </c:pt>
                <c:pt idx="6">
                  <c:v>41</c:v>
                </c:pt>
                <c:pt idx="7">
                  <c:v>34</c:v>
                </c:pt>
                <c:pt idx="8">
                  <c:v>29</c:v>
                </c:pt>
                <c:pt idx="9">
                  <c:v>26</c:v>
                </c:pt>
                <c:pt idx="10">
                  <c:v>25</c:v>
                </c:pt>
                <c:pt idx="11">
                  <c:v>26</c:v>
                </c:pt>
                <c:pt idx="12">
                  <c:v>29</c:v>
                </c:pt>
                <c:pt idx="1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18-40E5-A706-354DF5891EB1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'Задание 2.2'!$B$8:$O$8</c:f>
              <c:numCache>
                <c:formatCode>General</c:formatCode>
                <c:ptCount val="14"/>
                <c:pt idx="0">
                  <c:v>109</c:v>
                </c:pt>
                <c:pt idx="1">
                  <c:v>90</c:v>
                </c:pt>
                <c:pt idx="2">
                  <c:v>73</c:v>
                </c:pt>
                <c:pt idx="3">
                  <c:v>58</c:v>
                </c:pt>
                <c:pt idx="4">
                  <c:v>45</c:v>
                </c:pt>
                <c:pt idx="5">
                  <c:v>34</c:v>
                </c:pt>
                <c:pt idx="6">
                  <c:v>25</c:v>
                </c:pt>
                <c:pt idx="7">
                  <c:v>18</c:v>
                </c:pt>
                <c:pt idx="8">
                  <c:v>13</c:v>
                </c:pt>
                <c:pt idx="9">
                  <c:v>10</c:v>
                </c:pt>
                <c:pt idx="10">
                  <c:v>9</c:v>
                </c:pt>
                <c:pt idx="11">
                  <c:v>10</c:v>
                </c:pt>
                <c:pt idx="12">
                  <c:v>13</c:v>
                </c:pt>
                <c:pt idx="1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18-40E5-A706-354DF5891EB1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'Задание 2.2'!$B$9:$O$9</c:f>
              <c:numCache>
                <c:formatCode>General</c:formatCode>
                <c:ptCount val="14"/>
                <c:pt idx="0">
                  <c:v>101</c:v>
                </c:pt>
                <c:pt idx="1">
                  <c:v>82</c:v>
                </c:pt>
                <c:pt idx="2">
                  <c:v>65</c:v>
                </c:pt>
                <c:pt idx="3">
                  <c:v>50</c:v>
                </c:pt>
                <c:pt idx="4">
                  <c:v>37</c:v>
                </c:pt>
                <c:pt idx="5">
                  <c:v>26</c:v>
                </c:pt>
                <c:pt idx="6">
                  <c:v>17</c:v>
                </c:pt>
                <c:pt idx="7">
                  <c:v>10</c:v>
                </c:pt>
                <c:pt idx="8">
                  <c:v>5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5</c:v>
                </c:pt>
                <c:pt idx="1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18-40E5-A706-354DF5891EB1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'Задание 2.2'!$B$10:$O$10</c:f>
              <c:numCache>
                <c:formatCode>General</c:formatCode>
                <c:ptCount val="14"/>
                <c:pt idx="0">
                  <c:v>101</c:v>
                </c:pt>
                <c:pt idx="1">
                  <c:v>82</c:v>
                </c:pt>
                <c:pt idx="2">
                  <c:v>65</c:v>
                </c:pt>
                <c:pt idx="3">
                  <c:v>50</c:v>
                </c:pt>
                <c:pt idx="4">
                  <c:v>37</c:v>
                </c:pt>
                <c:pt idx="5">
                  <c:v>26</c:v>
                </c:pt>
                <c:pt idx="6">
                  <c:v>17</c:v>
                </c:pt>
                <c:pt idx="7">
                  <c:v>10</c:v>
                </c:pt>
                <c:pt idx="8">
                  <c:v>5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5</c:v>
                </c:pt>
                <c:pt idx="1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F18-40E5-A706-354DF5891EB1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'Задание 2.2'!$B$11:$O$11</c:f>
              <c:numCache>
                <c:formatCode>General</c:formatCode>
                <c:ptCount val="14"/>
                <c:pt idx="0">
                  <c:v>109</c:v>
                </c:pt>
                <c:pt idx="1">
                  <c:v>90</c:v>
                </c:pt>
                <c:pt idx="2">
                  <c:v>73</c:v>
                </c:pt>
                <c:pt idx="3">
                  <c:v>58</c:v>
                </c:pt>
                <c:pt idx="4">
                  <c:v>45</c:v>
                </c:pt>
                <c:pt idx="5">
                  <c:v>34</c:v>
                </c:pt>
                <c:pt idx="6">
                  <c:v>25</c:v>
                </c:pt>
                <c:pt idx="7">
                  <c:v>18</c:v>
                </c:pt>
                <c:pt idx="8">
                  <c:v>13</c:v>
                </c:pt>
                <c:pt idx="9">
                  <c:v>10</c:v>
                </c:pt>
                <c:pt idx="10">
                  <c:v>9</c:v>
                </c:pt>
                <c:pt idx="11">
                  <c:v>10</c:v>
                </c:pt>
                <c:pt idx="12">
                  <c:v>13</c:v>
                </c:pt>
                <c:pt idx="1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F18-40E5-A706-354DF5891EB1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'Задание 2.2'!$B$12:$O$12</c:f>
              <c:numCache>
                <c:formatCode>General</c:formatCode>
                <c:ptCount val="14"/>
                <c:pt idx="0">
                  <c:v>125</c:v>
                </c:pt>
                <c:pt idx="1">
                  <c:v>106</c:v>
                </c:pt>
                <c:pt idx="2">
                  <c:v>89</c:v>
                </c:pt>
                <c:pt idx="3">
                  <c:v>74</c:v>
                </c:pt>
                <c:pt idx="4">
                  <c:v>61</c:v>
                </c:pt>
                <c:pt idx="5">
                  <c:v>50</c:v>
                </c:pt>
                <c:pt idx="6">
                  <c:v>41</c:v>
                </c:pt>
                <c:pt idx="7">
                  <c:v>34</c:v>
                </c:pt>
                <c:pt idx="8">
                  <c:v>29</c:v>
                </c:pt>
                <c:pt idx="9">
                  <c:v>26</c:v>
                </c:pt>
                <c:pt idx="10">
                  <c:v>25</c:v>
                </c:pt>
                <c:pt idx="11">
                  <c:v>26</c:v>
                </c:pt>
                <c:pt idx="12">
                  <c:v>29</c:v>
                </c:pt>
                <c:pt idx="1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F18-40E5-A706-354DF5891EB1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'Задание 2.2'!$B$13:$O$13</c:f>
              <c:numCache>
                <c:formatCode>General</c:formatCode>
                <c:ptCount val="14"/>
                <c:pt idx="0">
                  <c:v>149</c:v>
                </c:pt>
                <c:pt idx="1">
                  <c:v>130</c:v>
                </c:pt>
                <c:pt idx="2">
                  <c:v>113</c:v>
                </c:pt>
                <c:pt idx="3">
                  <c:v>98</c:v>
                </c:pt>
                <c:pt idx="4">
                  <c:v>85</c:v>
                </c:pt>
                <c:pt idx="5">
                  <c:v>74</c:v>
                </c:pt>
                <c:pt idx="6">
                  <c:v>65</c:v>
                </c:pt>
                <c:pt idx="7">
                  <c:v>58</c:v>
                </c:pt>
                <c:pt idx="8">
                  <c:v>53</c:v>
                </c:pt>
                <c:pt idx="9">
                  <c:v>50</c:v>
                </c:pt>
                <c:pt idx="10">
                  <c:v>49</c:v>
                </c:pt>
                <c:pt idx="11">
                  <c:v>50</c:v>
                </c:pt>
                <c:pt idx="12">
                  <c:v>53</c:v>
                </c:pt>
                <c:pt idx="13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F18-40E5-A706-354DF5891EB1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'Задание 2.2'!$B$14:$O$14</c:f>
              <c:numCache>
                <c:formatCode>General</c:formatCode>
                <c:ptCount val="14"/>
                <c:pt idx="0">
                  <c:v>181</c:v>
                </c:pt>
                <c:pt idx="1">
                  <c:v>162</c:v>
                </c:pt>
                <c:pt idx="2">
                  <c:v>145</c:v>
                </c:pt>
                <c:pt idx="3">
                  <c:v>130</c:v>
                </c:pt>
                <c:pt idx="4">
                  <c:v>117</c:v>
                </c:pt>
                <c:pt idx="5">
                  <c:v>106</c:v>
                </c:pt>
                <c:pt idx="6">
                  <c:v>97</c:v>
                </c:pt>
                <c:pt idx="7">
                  <c:v>90</c:v>
                </c:pt>
                <c:pt idx="8">
                  <c:v>85</c:v>
                </c:pt>
                <c:pt idx="9">
                  <c:v>82</c:v>
                </c:pt>
                <c:pt idx="10">
                  <c:v>81</c:v>
                </c:pt>
                <c:pt idx="11">
                  <c:v>82</c:v>
                </c:pt>
                <c:pt idx="12">
                  <c:v>85</c:v>
                </c:pt>
                <c:pt idx="1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F18-40E5-A706-354DF5891EB1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'Задание 2.2'!$B$15:$O$15</c:f>
              <c:numCache>
                <c:formatCode>General</c:formatCode>
                <c:ptCount val="14"/>
                <c:pt idx="0">
                  <c:v>221</c:v>
                </c:pt>
                <c:pt idx="1">
                  <c:v>202</c:v>
                </c:pt>
                <c:pt idx="2">
                  <c:v>185</c:v>
                </c:pt>
                <c:pt idx="3">
                  <c:v>170</c:v>
                </c:pt>
                <c:pt idx="4">
                  <c:v>157</c:v>
                </c:pt>
                <c:pt idx="5">
                  <c:v>146</c:v>
                </c:pt>
                <c:pt idx="6">
                  <c:v>137</c:v>
                </c:pt>
                <c:pt idx="7">
                  <c:v>130</c:v>
                </c:pt>
                <c:pt idx="8">
                  <c:v>125</c:v>
                </c:pt>
                <c:pt idx="9">
                  <c:v>122</c:v>
                </c:pt>
                <c:pt idx="10">
                  <c:v>121</c:v>
                </c:pt>
                <c:pt idx="11">
                  <c:v>122</c:v>
                </c:pt>
                <c:pt idx="12">
                  <c:v>125</c:v>
                </c:pt>
                <c:pt idx="13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F18-40E5-A706-354DF5891EB1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66705775"/>
        <c:axId val="218332159"/>
        <c:axId val="221864047"/>
      </c:surface3DChart>
      <c:catAx>
        <c:axId val="26670577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8332159"/>
        <c:crosses val="autoZero"/>
        <c:auto val="1"/>
        <c:lblAlgn val="ctr"/>
        <c:lblOffset val="100"/>
        <c:noMultiLvlLbl val="0"/>
      </c:catAx>
      <c:valAx>
        <c:axId val="21833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6705775"/>
        <c:crosses val="autoZero"/>
        <c:crossBetween val="midCat"/>
      </c:valAx>
      <c:serAx>
        <c:axId val="22186404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8332159"/>
        <c:crosses val="autoZero"/>
      </c:ser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217170</xdr:rowOff>
    </xdr:from>
    <xdr:to>
      <xdr:col>11</xdr:col>
      <xdr:colOff>213360</xdr:colOff>
      <xdr:row>16</xdr:row>
      <xdr:rowOff>194310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B58084C-56AC-405E-9B0C-9FF1BBCC9B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209550</xdr:rowOff>
    </xdr:from>
    <xdr:to>
      <xdr:col>12</xdr:col>
      <xdr:colOff>114300</xdr:colOff>
      <xdr:row>37</xdr:row>
      <xdr:rowOff>190500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71B9BD3-75F3-4C86-A312-3BCE7ECCB8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47</xdr:row>
      <xdr:rowOff>11430</xdr:rowOff>
    </xdr:from>
    <xdr:to>
      <xdr:col>8</xdr:col>
      <xdr:colOff>129540</xdr:colOff>
      <xdr:row>57</xdr:row>
      <xdr:rowOff>240030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4A9D676-76FB-43E6-B7AE-85960781B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65</xdr:row>
      <xdr:rowOff>19050</xdr:rowOff>
    </xdr:from>
    <xdr:to>
      <xdr:col>8</xdr:col>
      <xdr:colOff>129540</xdr:colOff>
      <xdr:row>75</xdr:row>
      <xdr:rowOff>247650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31A5E556-4A72-4A86-97D5-CA428DCA5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255270</xdr:colOff>
      <xdr:row>16</xdr:row>
      <xdr:rowOff>26670</xdr:rowOff>
    </xdr:from>
    <xdr:to>
      <xdr:col>17</xdr:col>
      <xdr:colOff>381000</xdr:colOff>
      <xdr:row>31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F60C4D6-BAD9-4B3A-AF8F-D5B53244E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49530</xdr:rowOff>
    </xdr:from>
    <xdr:to>
      <xdr:col>10</xdr:col>
      <xdr:colOff>537210</xdr:colOff>
      <xdr:row>33</xdr:row>
      <xdr:rowOff>144780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A38EF74-2829-463B-9367-FF19886458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4"/>
  <sheetViews>
    <sheetView tabSelected="1" view="pageLayout" topLeftCell="K37" zoomScaleNormal="100" workbookViewId="0">
      <selection activeCell="T40" sqref="T40"/>
    </sheetView>
  </sheetViews>
  <sheetFormatPr defaultColWidth="7.88671875" defaultRowHeight="19.8" x14ac:dyDescent="0.4"/>
  <cols>
    <col min="1" max="1" width="7.88671875" style="1"/>
    <col min="2" max="2" width="9.5546875" style="1" bestFit="1" customWidth="1"/>
    <col min="3" max="16384" width="7.88671875" style="1"/>
  </cols>
  <sheetData>
    <row r="1" spans="1:12" x14ac:dyDescent="0.4">
      <c r="A1" s="3" t="s">
        <v>0</v>
      </c>
      <c r="B1" s="3">
        <v>56</v>
      </c>
    </row>
    <row r="2" spans="1:12" x14ac:dyDescent="0.4">
      <c r="A2" s="3" t="s">
        <v>1</v>
      </c>
      <c r="B2" s="3">
        <v>22</v>
      </c>
    </row>
    <row r="4" spans="1:12" x14ac:dyDescent="0.4">
      <c r="A4" s="2" t="s">
        <v>2</v>
      </c>
      <c r="B4" s="2">
        <v>-5</v>
      </c>
      <c r="C4" s="2">
        <v>-4</v>
      </c>
      <c r="D4" s="2">
        <v>-3</v>
      </c>
      <c r="E4" s="2">
        <v>-2</v>
      </c>
      <c r="F4" s="2">
        <v>-1</v>
      </c>
      <c r="G4" s="2">
        <v>0</v>
      </c>
      <c r="H4" s="2">
        <v>1</v>
      </c>
      <c r="I4" s="2">
        <v>2</v>
      </c>
      <c r="J4" s="2">
        <v>3</v>
      </c>
      <c r="K4" s="2">
        <v>4</v>
      </c>
      <c r="L4" s="2">
        <v>5</v>
      </c>
    </row>
    <row r="5" spans="1:12" x14ac:dyDescent="0.4">
      <c r="A5" s="2" t="s">
        <v>3</v>
      </c>
      <c r="B5" s="2">
        <f>ABS(($B$1/$B$2) + ABS(B4))</f>
        <v>7.545454545454545</v>
      </c>
      <c r="C5" s="2">
        <f t="shared" ref="C5:L5" si="0">ABS(($B$1/$B$2) + ABS(C4))</f>
        <v>6.545454545454545</v>
      </c>
      <c r="D5" s="2">
        <f t="shared" si="0"/>
        <v>5.545454545454545</v>
      </c>
      <c r="E5" s="2">
        <f t="shared" si="0"/>
        <v>4.545454545454545</v>
      </c>
      <c r="F5" s="2">
        <f t="shared" si="0"/>
        <v>3.5454545454545454</v>
      </c>
      <c r="G5" s="2">
        <f t="shared" si="0"/>
        <v>2.5454545454545454</v>
      </c>
      <c r="H5" s="2">
        <f t="shared" si="0"/>
        <v>3.5454545454545454</v>
      </c>
      <c r="I5" s="2">
        <f t="shared" si="0"/>
        <v>4.545454545454545</v>
      </c>
      <c r="J5" s="2">
        <f>ABS(($B$1/$B$2) + ABS(J4))</f>
        <v>5.545454545454545</v>
      </c>
      <c r="K5" s="2">
        <f t="shared" si="0"/>
        <v>6.545454545454545</v>
      </c>
      <c r="L5" s="2">
        <f t="shared" si="0"/>
        <v>7.545454545454545</v>
      </c>
    </row>
    <row r="19" spans="1:19" x14ac:dyDescent="0.4">
      <c r="A19" s="5" t="s">
        <v>0</v>
      </c>
      <c r="B19" s="5">
        <v>22</v>
      </c>
    </row>
    <row r="20" spans="1:19" x14ac:dyDescent="0.4">
      <c r="A20" s="5" t="s">
        <v>1</v>
      </c>
      <c r="B20" s="5">
        <v>7</v>
      </c>
    </row>
    <row r="21" spans="1:19" x14ac:dyDescent="0.4">
      <c r="A21" s="5" t="s">
        <v>4</v>
      </c>
      <c r="B21" s="5">
        <f>MOD(2004,8)</f>
        <v>4</v>
      </c>
    </row>
    <row r="23" spans="1:19" x14ac:dyDescent="0.4">
      <c r="A23" s="2" t="s">
        <v>2</v>
      </c>
      <c r="B23" s="4">
        <v>-4.5</v>
      </c>
      <c r="C23" s="4">
        <v>-4</v>
      </c>
      <c r="D23" s="4">
        <v>-3.5</v>
      </c>
      <c r="E23" s="4">
        <v>-3</v>
      </c>
      <c r="F23" s="4">
        <v>-2.5</v>
      </c>
      <c r="G23" s="4">
        <v>-2</v>
      </c>
      <c r="H23" s="4">
        <v>-1.5</v>
      </c>
      <c r="I23" s="4">
        <v>-1</v>
      </c>
      <c r="J23" s="4">
        <v>-0.5</v>
      </c>
      <c r="K23" s="4">
        <v>0</v>
      </c>
      <c r="L23" s="4">
        <v>0.5</v>
      </c>
      <c r="M23" s="4">
        <v>1</v>
      </c>
      <c r="N23" s="4">
        <v>1.5</v>
      </c>
      <c r="O23" s="4">
        <v>2</v>
      </c>
      <c r="P23" s="4">
        <v>2.5</v>
      </c>
      <c r="Q23" s="4">
        <v>3</v>
      </c>
      <c r="R23" s="4">
        <v>3.5</v>
      </c>
      <c r="S23" s="4">
        <v>4</v>
      </c>
    </row>
    <row r="24" spans="1:19" x14ac:dyDescent="0.4">
      <c r="A24" s="2" t="s">
        <v>3</v>
      </c>
      <c r="B24" s="4">
        <f>$B$19*B23*B23+$B$20*B23+$B$21</f>
        <v>418</v>
      </c>
      <c r="C24" s="4">
        <f t="shared" ref="C24:S24" si="1">$B$19*C23*C23+$B$20*C23+$B$21</f>
        <v>328</v>
      </c>
      <c r="D24" s="4">
        <f t="shared" si="1"/>
        <v>249</v>
      </c>
      <c r="E24" s="4">
        <f t="shared" si="1"/>
        <v>181</v>
      </c>
      <c r="F24" s="4">
        <f t="shared" si="1"/>
        <v>124</v>
      </c>
      <c r="G24" s="4">
        <f t="shared" si="1"/>
        <v>78</v>
      </c>
      <c r="H24" s="4">
        <f t="shared" si="1"/>
        <v>43</v>
      </c>
      <c r="I24" s="4">
        <f t="shared" si="1"/>
        <v>19</v>
      </c>
      <c r="J24" s="4">
        <f t="shared" si="1"/>
        <v>6</v>
      </c>
      <c r="K24" s="4">
        <f t="shared" si="1"/>
        <v>4</v>
      </c>
      <c r="L24" s="4">
        <f t="shared" si="1"/>
        <v>13</v>
      </c>
      <c r="M24" s="4">
        <f t="shared" si="1"/>
        <v>33</v>
      </c>
      <c r="N24" s="4">
        <f t="shared" si="1"/>
        <v>64</v>
      </c>
      <c r="O24" s="4">
        <f t="shared" si="1"/>
        <v>106</v>
      </c>
      <c r="P24" s="4">
        <f t="shared" si="1"/>
        <v>159</v>
      </c>
      <c r="Q24" s="4">
        <f t="shared" si="1"/>
        <v>223</v>
      </c>
      <c r="R24" s="4">
        <f t="shared" si="1"/>
        <v>298</v>
      </c>
      <c r="S24" s="4">
        <f t="shared" si="1"/>
        <v>384</v>
      </c>
    </row>
    <row r="41" spans="1:37" x14ac:dyDescent="0.4">
      <c r="A41" s="2" t="s">
        <v>1</v>
      </c>
      <c r="B41" s="2">
        <f>AVERAGE(22,7,56)</f>
        <v>28.333333333333332</v>
      </c>
    </row>
    <row r="42" spans="1:37" x14ac:dyDescent="0.4">
      <c r="A42" s="2" t="s">
        <v>4</v>
      </c>
      <c r="B42" s="2">
        <f>AVERAGE(74,926,8)</f>
        <v>336</v>
      </c>
    </row>
    <row r="44" spans="1:37" x14ac:dyDescent="0.4">
      <c r="A44" s="5" t="s">
        <v>2</v>
      </c>
      <c r="B44" s="5">
        <v>-4.5</v>
      </c>
      <c r="C44" s="5">
        <v>-4</v>
      </c>
      <c r="D44" s="5">
        <v>-3.5</v>
      </c>
      <c r="E44" s="5">
        <v>-3</v>
      </c>
      <c r="F44" s="5">
        <v>-2.5</v>
      </c>
      <c r="G44" s="5">
        <v>-2</v>
      </c>
      <c r="H44" s="5">
        <v>-1.5</v>
      </c>
      <c r="I44" s="5">
        <v>-1</v>
      </c>
      <c r="J44" s="5">
        <v>-0.5</v>
      </c>
      <c r="K44" s="5">
        <v>0</v>
      </c>
      <c r="L44" s="5">
        <v>0.5</v>
      </c>
      <c r="M44" s="5">
        <v>1</v>
      </c>
      <c r="N44" s="5">
        <v>1.5</v>
      </c>
      <c r="O44" s="5">
        <v>2</v>
      </c>
      <c r="P44" s="5">
        <v>2.5</v>
      </c>
      <c r="Q44" s="5">
        <v>3</v>
      </c>
      <c r="R44" s="5">
        <v>3.5</v>
      </c>
      <c r="S44" s="5">
        <v>4</v>
      </c>
      <c r="T44" s="5">
        <v>4.5</v>
      </c>
      <c r="U44" s="5">
        <v>5</v>
      </c>
      <c r="V44" s="5">
        <v>5.5</v>
      </c>
      <c r="W44" s="5">
        <v>6</v>
      </c>
      <c r="X44" s="5">
        <v>6.5</v>
      </c>
      <c r="Y44" s="5">
        <v>7</v>
      </c>
      <c r="Z44" s="5">
        <v>7.5</v>
      </c>
      <c r="AA44" s="5">
        <v>8</v>
      </c>
      <c r="AB44" s="5">
        <v>8.5</v>
      </c>
      <c r="AC44" s="5">
        <v>9</v>
      </c>
      <c r="AD44" s="5">
        <v>9.5</v>
      </c>
      <c r="AE44" s="5">
        <v>10</v>
      </c>
      <c r="AF44" s="5">
        <v>10.5</v>
      </c>
      <c r="AG44" s="5">
        <v>11</v>
      </c>
      <c r="AH44" s="5">
        <v>11.5</v>
      </c>
      <c r="AI44" s="5">
        <v>12</v>
      </c>
      <c r="AJ44" s="5">
        <v>12.5</v>
      </c>
      <c r="AK44" s="5">
        <v>13</v>
      </c>
    </row>
    <row r="45" spans="1:37" x14ac:dyDescent="0.4">
      <c r="A45" s="5" t="s">
        <v>3</v>
      </c>
      <c r="B45" s="5">
        <f>ABS(-5*B44^2+$B$41*B44+$B$42)</f>
        <v>107.25</v>
      </c>
      <c r="C45" s="5">
        <f t="shared" ref="C45:T45" si="2">ABS(-5*C44^2+$B$41*C44+$B$42)</f>
        <v>142.66666666666669</v>
      </c>
      <c r="D45" s="5">
        <f t="shared" si="2"/>
        <v>175.58333333333334</v>
      </c>
      <c r="E45" s="5">
        <f t="shared" si="2"/>
        <v>206</v>
      </c>
      <c r="F45" s="5">
        <f t="shared" si="2"/>
        <v>233.91666666666669</v>
      </c>
      <c r="G45" s="5">
        <f t="shared" si="2"/>
        <v>259.33333333333337</v>
      </c>
      <c r="H45" s="5">
        <f t="shared" si="2"/>
        <v>282.25</v>
      </c>
      <c r="I45" s="5">
        <f t="shared" si="2"/>
        <v>302.66666666666669</v>
      </c>
      <c r="J45" s="5">
        <f t="shared" si="2"/>
        <v>320.58333333333331</v>
      </c>
      <c r="K45" s="5">
        <f t="shared" si="2"/>
        <v>336</v>
      </c>
      <c r="L45" s="5">
        <f t="shared" si="2"/>
        <v>348.91666666666669</v>
      </c>
      <c r="M45" s="5">
        <f t="shared" si="2"/>
        <v>359.33333333333331</v>
      </c>
      <c r="N45" s="5">
        <f t="shared" si="2"/>
        <v>367.25</v>
      </c>
      <c r="O45" s="5">
        <f t="shared" si="2"/>
        <v>372.66666666666669</v>
      </c>
      <c r="P45" s="5">
        <f t="shared" si="2"/>
        <v>375.58333333333331</v>
      </c>
      <c r="Q45" s="5">
        <f t="shared" si="2"/>
        <v>376</v>
      </c>
      <c r="R45" s="5">
        <f t="shared" si="2"/>
        <v>373.91666666666663</v>
      </c>
      <c r="S45" s="5">
        <f t="shared" si="2"/>
        <v>369.33333333333331</v>
      </c>
      <c r="T45" s="5">
        <f t="shared" si="2"/>
        <v>362.25</v>
      </c>
      <c r="U45" s="5">
        <f t="shared" ref="U45" si="3">ABS(-5*U44^2+$B$41*U44+$B$42)</f>
        <v>352.66666666666663</v>
      </c>
      <c r="V45" s="5">
        <f t="shared" ref="V45" si="4">ABS(-5*V44^2+$B$41*V44+$B$42)</f>
        <v>340.58333333333331</v>
      </c>
      <c r="W45" s="5">
        <f t="shared" ref="W45" si="5">ABS(-5*W44^2+$B$41*W44+$B$42)</f>
        <v>326</v>
      </c>
      <c r="X45" s="5">
        <f t="shared" ref="X45" si="6">ABS(-5*X44^2+$B$41*X44+$B$42)</f>
        <v>308.91666666666663</v>
      </c>
      <c r="Y45" s="5">
        <f t="shared" ref="Y45" si="7">ABS(-5*Y44^2+$B$41*Y44+$B$42)</f>
        <v>289.33333333333331</v>
      </c>
      <c r="Z45" s="5">
        <f t="shared" ref="Z45" si="8">ABS(-5*Z44^2+$B$41*Z44+$B$42)</f>
        <v>267.25</v>
      </c>
      <c r="AA45" s="5">
        <f t="shared" ref="AA45" si="9">ABS(-5*AA44^2+$B$41*AA44+$B$42)</f>
        <v>242.66666666666666</v>
      </c>
      <c r="AB45" s="5">
        <f t="shared" ref="AB45" si="10">ABS(-5*AB44^2+$B$41*AB44+$B$42)</f>
        <v>215.58333333333331</v>
      </c>
      <c r="AC45" s="5">
        <f t="shared" ref="AC45" si="11">ABS(-5*AC44^2+$B$41*AC44+$B$42)</f>
        <v>186</v>
      </c>
      <c r="AD45" s="5">
        <f t="shared" ref="AD45" si="12">ABS(-5*AD44^2+$B$41*AD44+$B$42)</f>
        <v>153.91666666666663</v>
      </c>
      <c r="AE45" s="5">
        <f t="shared" ref="AE45" si="13">ABS(-5*AE44^2+$B$41*AE44+$B$42)</f>
        <v>119.33333333333331</v>
      </c>
      <c r="AF45" s="5">
        <f t="shared" ref="AF45" si="14">ABS(-5*AF44^2+$B$41*AF44+$B$42)</f>
        <v>82.25</v>
      </c>
      <c r="AG45" s="5">
        <f t="shared" ref="AG45" si="15">ABS(-5*AG44^2+$B$41*AG44+$B$42)</f>
        <v>42.666666666666629</v>
      </c>
      <c r="AH45" s="5">
        <f t="shared" ref="AH45" si="16">ABS(-5*AH44^2+$B$41*AH44+$B$42)</f>
        <v>0.58333333333331439</v>
      </c>
      <c r="AI45" s="5">
        <f t="shared" ref="AI45" si="17">ABS(-5*AI44^2+$B$41*AI44+$B$42)</f>
        <v>44</v>
      </c>
      <c r="AJ45" s="5">
        <f t="shared" ref="AJ45" si="18">ABS(-5*AJ44^2+$B$41*AJ44+$B$42)</f>
        <v>91.083333333333371</v>
      </c>
      <c r="AK45" s="5">
        <f t="shared" ref="AK45" si="19">ABS(-5*AK44^2+$B$41*AK44+$B$42)</f>
        <v>140.66666666666669</v>
      </c>
    </row>
    <row r="60" spans="1:12" x14ac:dyDescent="0.4">
      <c r="A60" s="5" t="s">
        <v>0</v>
      </c>
      <c r="B60" s="5">
        <f>ABS(74-22) + 3</f>
        <v>55</v>
      </c>
    </row>
    <row r="61" spans="1:12" x14ac:dyDescent="0.4">
      <c r="A61" s="5" t="s">
        <v>1</v>
      </c>
      <c r="B61" s="5">
        <f>GCD(22,926)+56</f>
        <v>58</v>
      </c>
    </row>
    <row r="63" spans="1:12" x14ac:dyDescent="0.4">
      <c r="A63" s="2" t="s">
        <v>2</v>
      </c>
      <c r="B63" s="2">
        <v>-5</v>
      </c>
      <c r="C63" s="2">
        <v>-4</v>
      </c>
      <c r="D63" s="2">
        <v>-3</v>
      </c>
      <c r="E63" s="2">
        <v>-2</v>
      </c>
      <c r="F63" s="2">
        <v>-1</v>
      </c>
      <c r="G63" s="2">
        <v>0</v>
      </c>
      <c r="H63" s="2">
        <v>1</v>
      </c>
      <c r="I63" s="2">
        <v>2</v>
      </c>
      <c r="J63" s="2">
        <v>3</v>
      </c>
      <c r="K63" s="2">
        <v>4</v>
      </c>
      <c r="L63" s="2">
        <v>5</v>
      </c>
    </row>
    <row r="64" spans="1:12" x14ac:dyDescent="0.4">
      <c r="A64" s="2" t="s">
        <v>3</v>
      </c>
      <c r="B64" s="2">
        <f>LOG($B$61,$B$60)</f>
        <v>1.0132531593603606</v>
      </c>
      <c r="C64" s="2">
        <f t="shared" ref="C64:L64" si="20">LOG($B$61,$B$60)</f>
        <v>1.0132531593603606</v>
      </c>
      <c r="D64" s="2">
        <f t="shared" si="20"/>
        <v>1.0132531593603606</v>
      </c>
      <c r="E64" s="2">
        <f t="shared" si="20"/>
        <v>1.0132531593603606</v>
      </c>
      <c r="F64" s="2">
        <f t="shared" si="20"/>
        <v>1.0132531593603606</v>
      </c>
      <c r="G64" s="2">
        <f t="shared" si="20"/>
        <v>1.0132531593603606</v>
      </c>
      <c r="H64" s="2">
        <f t="shared" si="20"/>
        <v>1.0132531593603606</v>
      </c>
      <c r="I64" s="2">
        <f t="shared" si="20"/>
        <v>1.0132531593603606</v>
      </c>
      <c r="J64" s="2">
        <f t="shared" si="20"/>
        <v>1.0132531593603606</v>
      </c>
      <c r="K64" s="2">
        <f t="shared" si="20"/>
        <v>1.0132531593603606</v>
      </c>
      <c r="L64" s="2">
        <f t="shared" si="20"/>
        <v>1.0132531593603606</v>
      </c>
    </row>
  </sheetData>
  <pageMargins left="0.7" right="0.7" top="0.75" bottom="0.75" header="0.3" footer="0.3"/>
  <pageSetup paperSize="9" orientation="portrait" r:id="rId1"/>
  <headerFooter>
    <oddHeader xml:space="preserve">&amp;CСалимов Даниил Рамильевич
2 группа, 2 подгруппа 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AB340-21D4-4A3F-A2EA-C75AC3C245F9}">
  <dimension ref="A1:O18"/>
  <sheetViews>
    <sheetView view="pageLayout" zoomScaleNormal="100" workbookViewId="0">
      <selection activeCell="F20" sqref="F20"/>
    </sheetView>
  </sheetViews>
  <sheetFormatPr defaultColWidth="5.77734375" defaultRowHeight="19.8" x14ac:dyDescent="0.4"/>
  <cols>
    <col min="1" max="1" width="5.77734375" style="1"/>
    <col min="2" max="15" width="8.6640625" style="1" customWidth="1"/>
    <col min="16" max="16384" width="5.77734375" style="1"/>
  </cols>
  <sheetData>
    <row r="1" spans="1:15" x14ac:dyDescent="0.4">
      <c r="B1" s="6">
        <v>-10</v>
      </c>
      <c r="C1" s="6">
        <v>-9</v>
      </c>
      <c r="D1" s="6">
        <v>-8</v>
      </c>
      <c r="E1" s="6">
        <v>-7</v>
      </c>
      <c r="F1" s="6">
        <v>-6</v>
      </c>
      <c r="G1" s="6">
        <v>-5</v>
      </c>
      <c r="H1" s="6">
        <v>-4</v>
      </c>
      <c r="I1" s="6">
        <v>-3</v>
      </c>
      <c r="J1" s="6">
        <v>-2</v>
      </c>
      <c r="K1" s="6">
        <v>-1</v>
      </c>
      <c r="L1" s="6">
        <v>0</v>
      </c>
      <c r="M1" s="6">
        <v>1</v>
      </c>
      <c r="N1" s="6">
        <v>2</v>
      </c>
      <c r="O1" s="6">
        <v>3</v>
      </c>
    </row>
    <row r="2" spans="1:15" x14ac:dyDescent="0.4">
      <c r="A2" s="6">
        <v>-15</v>
      </c>
      <c r="B2" s="7">
        <f>B$1^2/$B$17^2 + $A2^2/$B$18^2</f>
        <v>325</v>
      </c>
      <c r="C2" s="7">
        <f t="shared" ref="C2:O2" si="0">C$1^2/$B$17^2 + $A2^2/$B$18^2</f>
        <v>306</v>
      </c>
      <c r="D2" s="7">
        <f t="shared" si="0"/>
        <v>289</v>
      </c>
      <c r="E2" s="7">
        <f t="shared" si="0"/>
        <v>274</v>
      </c>
      <c r="F2" s="7">
        <f t="shared" si="0"/>
        <v>261</v>
      </c>
      <c r="G2" s="7">
        <f t="shared" si="0"/>
        <v>250</v>
      </c>
      <c r="H2" s="7">
        <f t="shared" si="0"/>
        <v>241</v>
      </c>
      <c r="I2" s="7">
        <f t="shared" si="0"/>
        <v>234</v>
      </c>
      <c r="J2" s="7">
        <f t="shared" si="0"/>
        <v>229</v>
      </c>
      <c r="K2" s="7">
        <f t="shared" si="0"/>
        <v>226</v>
      </c>
      <c r="L2" s="7">
        <f t="shared" si="0"/>
        <v>225</v>
      </c>
      <c r="M2" s="7">
        <f t="shared" si="0"/>
        <v>226</v>
      </c>
      <c r="N2" s="7">
        <f t="shared" si="0"/>
        <v>229</v>
      </c>
      <c r="O2" s="7">
        <f t="shared" si="0"/>
        <v>234</v>
      </c>
    </row>
    <row r="3" spans="1:15" x14ac:dyDescent="0.4">
      <c r="A3" s="6">
        <v>-13</v>
      </c>
      <c r="B3" s="7">
        <f t="shared" ref="B3:O15" si="1">B$1^2/$B$17^2 + $A3^2/$B$18^2</f>
        <v>269</v>
      </c>
      <c r="C3" s="7">
        <f t="shared" si="1"/>
        <v>250</v>
      </c>
      <c r="D3" s="7">
        <f t="shared" si="1"/>
        <v>233</v>
      </c>
      <c r="E3" s="7">
        <f t="shared" si="1"/>
        <v>218</v>
      </c>
      <c r="F3" s="7">
        <f>F$1^2/$B$17^2 + $A3^2/$B$18^2</f>
        <v>205</v>
      </c>
      <c r="G3" s="7">
        <f t="shared" si="1"/>
        <v>194</v>
      </c>
      <c r="H3" s="7">
        <f t="shared" si="1"/>
        <v>185</v>
      </c>
      <c r="I3" s="7">
        <f t="shared" si="1"/>
        <v>178</v>
      </c>
      <c r="J3" s="7">
        <f t="shared" si="1"/>
        <v>173</v>
      </c>
      <c r="K3" s="7">
        <f t="shared" si="1"/>
        <v>170</v>
      </c>
      <c r="L3" s="7">
        <f t="shared" si="1"/>
        <v>169</v>
      </c>
      <c r="M3" s="7">
        <f t="shared" si="1"/>
        <v>170</v>
      </c>
      <c r="N3" s="7">
        <f t="shared" si="1"/>
        <v>173</v>
      </c>
      <c r="O3" s="7">
        <f t="shared" si="1"/>
        <v>178</v>
      </c>
    </row>
    <row r="4" spans="1:15" x14ac:dyDescent="0.4">
      <c r="A4" s="6">
        <v>-11</v>
      </c>
      <c r="B4" s="7">
        <f t="shared" si="1"/>
        <v>221</v>
      </c>
      <c r="C4" s="7">
        <f t="shared" si="1"/>
        <v>202</v>
      </c>
      <c r="D4" s="7">
        <f t="shared" si="1"/>
        <v>185</v>
      </c>
      <c r="E4" s="7">
        <f t="shared" si="1"/>
        <v>170</v>
      </c>
      <c r="F4" s="7">
        <f t="shared" si="1"/>
        <v>157</v>
      </c>
      <c r="G4" s="7">
        <f t="shared" si="1"/>
        <v>146</v>
      </c>
      <c r="H4" s="7">
        <f t="shared" si="1"/>
        <v>137</v>
      </c>
      <c r="I4" s="7">
        <f t="shared" si="1"/>
        <v>130</v>
      </c>
      <c r="J4" s="7">
        <f t="shared" si="1"/>
        <v>125</v>
      </c>
      <c r="K4" s="7">
        <f t="shared" si="1"/>
        <v>122</v>
      </c>
      <c r="L4" s="7">
        <f t="shared" si="1"/>
        <v>121</v>
      </c>
      <c r="M4" s="7">
        <f t="shared" si="1"/>
        <v>122</v>
      </c>
      <c r="N4" s="7">
        <f t="shared" si="1"/>
        <v>125</v>
      </c>
      <c r="O4" s="7">
        <f t="shared" si="1"/>
        <v>130</v>
      </c>
    </row>
    <row r="5" spans="1:15" x14ac:dyDescent="0.4">
      <c r="A5" s="6">
        <v>-9</v>
      </c>
      <c r="B5" s="7">
        <f t="shared" si="1"/>
        <v>181</v>
      </c>
      <c r="C5" s="7">
        <f t="shared" si="1"/>
        <v>162</v>
      </c>
      <c r="D5" s="7">
        <f t="shared" si="1"/>
        <v>145</v>
      </c>
      <c r="E5" s="7">
        <f t="shared" si="1"/>
        <v>130</v>
      </c>
      <c r="F5" s="7">
        <f t="shared" si="1"/>
        <v>117</v>
      </c>
      <c r="G5" s="7">
        <f t="shared" si="1"/>
        <v>106</v>
      </c>
      <c r="H5" s="7">
        <f t="shared" si="1"/>
        <v>97</v>
      </c>
      <c r="I5" s="7">
        <f t="shared" si="1"/>
        <v>90</v>
      </c>
      <c r="J5" s="7">
        <f t="shared" si="1"/>
        <v>85</v>
      </c>
      <c r="K5" s="7">
        <f t="shared" si="1"/>
        <v>82</v>
      </c>
      <c r="L5" s="7">
        <f>L$1^2/$B$17^2 + $A5^2/$B$18^2</f>
        <v>81</v>
      </c>
      <c r="M5" s="7">
        <f t="shared" si="1"/>
        <v>82</v>
      </c>
      <c r="N5" s="7">
        <f t="shared" si="1"/>
        <v>85</v>
      </c>
      <c r="O5" s="7">
        <f t="shared" si="1"/>
        <v>90</v>
      </c>
    </row>
    <row r="6" spans="1:15" x14ac:dyDescent="0.4">
      <c r="A6" s="6">
        <v>-7</v>
      </c>
      <c r="B6" s="7">
        <f t="shared" si="1"/>
        <v>149</v>
      </c>
      <c r="C6" s="7">
        <f t="shared" si="1"/>
        <v>130</v>
      </c>
      <c r="D6" s="7">
        <f t="shared" si="1"/>
        <v>113</v>
      </c>
      <c r="E6" s="7">
        <f t="shared" si="1"/>
        <v>98</v>
      </c>
      <c r="F6" s="7">
        <f t="shared" si="1"/>
        <v>85</v>
      </c>
      <c r="G6" s="7">
        <f t="shared" si="1"/>
        <v>74</v>
      </c>
      <c r="H6" s="7">
        <f t="shared" si="1"/>
        <v>65</v>
      </c>
      <c r="I6" s="7">
        <f t="shared" si="1"/>
        <v>58</v>
      </c>
      <c r="J6" s="7">
        <f t="shared" si="1"/>
        <v>53</v>
      </c>
      <c r="K6" s="7">
        <f t="shared" si="1"/>
        <v>50</v>
      </c>
      <c r="L6" s="7">
        <f t="shared" si="1"/>
        <v>49</v>
      </c>
      <c r="M6" s="7">
        <f t="shared" si="1"/>
        <v>50</v>
      </c>
      <c r="N6" s="7">
        <f t="shared" si="1"/>
        <v>53</v>
      </c>
      <c r="O6" s="7">
        <f t="shared" si="1"/>
        <v>58</v>
      </c>
    </row>
    <row r="7" spans="1:15" x14ac:dyDescent="0.4">
      <c r="A7" s="6">
        <v>-5</v>
      </c>
      <c r="B7" s="7">
        <f t="shared" si="1"/>
        <v>125</v>
      </c>
      <c r="C7" s="7">
        <f t="shared" si="1"/>
        <v>106</v>
      </c>
      <c r="D7" s="7">
        <f t="shared" si="1"/>
        <v>89</v>
      </c>
      <c r="E7" s="7">
        <f t="shared" si="1"/>
        <v>74</v>
      </c>
      <c r="F7" s="7">
        <f t="shared" si="1"/>
        <v>61</v>
      </c>
      <c r="G7" s="7">
        <f t="shared" si="1"/>
        <v>50</v>
      </c>
      <c r="H7" s="7">
        <f t="shared" si="1"/>
        <v>41</v>
      </c>
      <c r="I7" s="7">
        <f t="shared" si="1"/>
        <v>34</v>
      </c>
      <c r="J7" s="7">
        <f t="shared" si="1"/>
        <v>29</v>
      </c>
      <c r="K7" s="7">
        <f t="shared" si="1"/>
        <v>26</v>
      </c>
      <c r="L7" s="7">
        <f t="shared" si="1"/>
        <v>25</v>
      </c>
      <c r="M7" s="7">
        <f t="shared" si="1"/>
        <v>26</v>
      </c>
      <c r="N7" s="7">
        <f t="shared" si="1"/>
        <v>29</v>
      </c>
      <c r="O7" s="7">
        <f t="shared" si="1"/>
        <v>34</v>
      </c>
    </row>
    <row r="8" spans="1:15" x14ac:dyDescent="0.4">
      <c r="A8" s="6">
        <v>-3</v>
      </c>
      <c r="B8" s="7">
        <f t="shared" si="1"/>
        <v>109</v>
      </c>
      <c r="C8" s="7">
        <f t="shared" si="1"/>
        <v>90</v>
      </c>
      <c r="D8" s="7">
        <f t="shared" si="1"/>
        <v>73</v>
      </c>
      <c r="E8" s="7">
        <f t="shared" si="1"/>
        <v>58</v>
      </c>
      <c r="F8" s="7">
        <f t="shared" si="1"/>
        <v>45</v>
      </c>
      <c r="G8" s="7">
        <f t="shared" si="1"/>
        <v>34</v>
      </c>
      <c r="H8" s="7">
        <f t="shared" si="1"/>
        <v>25</v>
      </c>
      <c r="I8" s="7">
        <f t="shared" si="1"/>
        <v>18</v>
      </c>
      <c r="J8" s="7">
        <f t="shared" si="1"/>
        <v>13</v>
      </c>
      <c r="K8" s="7">
        <f t="shared" si="1"/>
        <v>10</v>
      </c>
      <c r="L8" s="7">
        <f t="shared" si="1"/>
        <v>9</v>
      </c>
      <c r="M8" s="7">
        <f t="shared" si="1"/>
        <v>10</v>
      </c>
      <c r="N8" s="7">
        <f t="shared" si="1"/>
        <v>13</v>
      </c>
      <c r="O8" s="7">
        <f t="shared" si="1"/>
        <v>18</v>
      </c>
    </row>
    <row r="9" spans="1:15" x14ac:dyDescent="0.4">
      <c r="A9" s="6">
        <v>-1</v>
      </c>
      <c r="B9" s="7">
        <f t="shared" si="1"/>
        <v>101</v>
      </c>
      <c r="C9" s="7">
        <f t="shared" si="1"/>
        <v>82</v>
      </c>
      <c r="D9" s="7">
        <f t="shared" si="1"/>
        <v>65</v>
      </c>
      <c r="E9" s="7">
        <f t="shared" si="1"/>
        <v>50</v>
      </c>
      <c r="F9" s="7">
        <f t="shared" si="1"/>
        <v>37</v>
      </c>
      <c r="G9" s="7">
        <f t="shared" si="1"/>
        <v>26</v>
      </c>
      <c r="H9" s="7">
        <f t="shared" si="1"/>
        <v>17</v>
      </c>
      <c r="I9" s="7">
        <f t="shared" si="1"/>
        <v>10</v>
      </c>
      <c r="J9" s="7">
        <f t="shared" si="1"/>
        <v>5</v>
      </c>
      <c r="K9" s="7">
        <f t="shared" si="1"/>
        <v>2</v>
      </c>
      <c r="L9" s="7">
        <f t="shared" si="1"/>
        <v>1</v>
      </c>
      <c r="M9" s="7">
        <f t="shared" si="1"/>
        <v>2</v>
      </c>
      <c r="N9" s="7">
        <f t="shared" si="1"/>
        <v>5</v>
      </c>
      <c r="O9" s="7">
        <f t="shared" si="1"/>
        <v>10</v>
      </c>
    </row>
    <row r="10" spans="1:15" x14ac:dyDescent="0.4">
      <c r="A10" s="6">
        <v>1</v>
      </c>
      <c r="B10" s="7">
        <f t="shared" si="1"/>
        <v>101</v>
      </c>
      <c r="C10" s="7">
        <f t="shared" si="1"/>
        <v>82</v>
      </c>
      <c r="D10" s="7">
        <f t="shared" si="1"/>
        <v>65</v>
      </c>
      <c r="E10" s="7">
        <f t="shared" si="1"/>
        <v>50</v>
      </c>
      <c r="F10" s="7">
        <f t="shared" si="1"/>
        <v>37</v>
      </c>
      <c r="G10" s="7">
        <f t="shared" si="1"/>
        <v>26</v>
      </c>
      <c r="H10" s="7">
        <f t="shared" si="1"/>
        <v>17</v>
      </c>
      <c r="I10" s="7">
        <f t="shared" si="1"/>
        <v>10</v>
      </c>
      <c r="J10" s="7">
        <f t="shared" si="1"/>
        <v>5</v>
      </c>
      <c r="K10" s="7">
        <f t="shared" si="1"/>
        <v>2</v>
      </c>
      <c r="L10" s="7">
        <f t="shared" si="1"/>
        <v>1</v>
      </c>
      <c r="M10" s="7">
        <f t="shared" si="1"/>
        <v>2</v>
      </c>
      <c r="N10" s="7">
        <f t="shared" si="1"/>
        <v>5</v>
      </c>
      <c r="O10" s="7">
        <f t="shared" si="1"/>
        <v>10</v>
      </c>
    </row>
    <row r="11" spans="1:15" x14ac:dyDescent="0.4">
      <c r="A11" s="6">
        <v>3</v>
      </c>
      <c r="B11" s="7">
        <f t="shared" si="1"/>
        <v>109</v>
      </c>
      <c r="C11" s="7">
        <f t="shared" si="1"/>
        <v>90</v>
      </c>
      <c r="D11" s="7">
        <f t="shared" si="1"/>
        <v>73</v>
      </c>
      <c r="E11" s="7">
        <f t="shared" si="1"/>
        <v>58</v>
      </c>
      <c r="F11" s="7">
        <f t="shared" si="1"/>
        <v>45</v>
      </c>
      <c r="G11" s="7">
        <f t="shared" si="1"/>
        <v>34</v>
      </c>
      <c r="H11" s="7">
        <f t="shared" si="1"/>
        <v>25</v>
      </c>
      <c r="I11" s="7">
        <f t="shared" si="1"/>
        <v>18</v>
      </c>
      <c r="J11" s="7">
        <f t="shared" si="1"/>
        <v>13</v>
      </c>
      <c r="K11" s="7">
        <f t="shared" si="1"/>
        <v>10</v>
      </c>
      <c r="L11" s="7">
        <f t="shared" si="1"/>
        <v>9</v>
      </c>
      <c r="M11" s="7">
        <f t="shared" si="1"/>
        <v>10</v>
      </c>
      <c r="N11" s="7">
        <f t="shared" si="1"/>
        <v>13</v>
      </c>
      <c r="O11" s="7">
        <f t="shared" si="1"/>
        <v>18</v>
      </c>
    </row>
    <row r="12" spans="1:15" x14ac:dyDescent="0.4">
      <c r="A12" s="6">
        <v>5</v>
      </c>
      <c r="B12" s="7">
        <f t="shared" si="1"/>
        <v>125</v>
      </c>
      <c r="C12" s="7">
        <f t="shared" si="1"/>
        <v>106</v>
      </c>
      <c r="D12" s="7">
        <f t="shared" si="1"/>
        <v>89</v>
      </c>
      <c r="E12" s="7">
        <f t="shared" si="1"/>
        <v>74</v>
      </c>
      <c r="F12" s="7">
        <f t="shared" si="1"/>
        <v>61</v>
      </c>
      <c r="G12" s="7">
        <f t="shared" si="1"/>
        <v>50</v>
      </c>
      <c r="H12" s="7">
        <f t="shared" si="1"/>
        <v>41</v>
      </c>
      <c r="I12" s="7">
        <f t="shared" si="1"/>
        <v>34</v>
      </c>
      <c r="J12" s="7">
        <f t="shared" si="1"/>
        <v>29</v>
      </c>
      <c r="K12" s="7">
        <f t="shared" si="1"/>
        <v>26</v>
      </c>
      <c r="L12" s="7">
        <f t="shared" si="1"/>
        <v>25</v>
      </c>
      <c r="M12" s="7">
        <f t="shared" si="1"/>
        <v>26</v>
      </c>
      <c r="N12" s="7">
        <f t="shared" si="1"/>
        <v>29</v>
      </c>
      <c r="O12" s="7">
        <f t="shared" si="1"/>
        <v>34</v>
      </c>
    </row>
    <row r="13" spans="1:15" x14ac:dyDescent="0.4">
      <c r="A13" s="6">
        <v>7</v>
      </c>
      <c r="B13" s="7">
        <f t="shared" si="1"/>
        <v>149</v>
      </c>
      <c r="C13" s="7">
        <f t="shared" si="1"/>
        <v>130</v>
      </c>
      <c r="D13" s="7">
        <f t="shared" si="1"/>
        <v>113</v>
      </c>
      <c r="E13" s="7">
        <f t="shared" si="1"/>
        <v>98</v>
      </c>
      <c r="F13" s="7">
        <f t="shared" si="1"/>
        <v>85</v>
      </c>
      <c r="G13" s="7">
        <f t="shared" si="1"/>
        <v>74</v>
      </c>
      <c r="H13" s="7">
        <f t="shared" si="1"/>
        <v>65</v>
      </c>
      <c r="I13" s="7">
        <f t="shared" si="1"/>
        <v>58</v>
      </c>
      <c r="J13" s="7">
        <f t="shared" si="1"/>
        <v>53</v>
      </c>
      <c r="K13" s="7">
        <f t="shared" si="1"/>
        <v>50</v>
      </c>
      <c r="L13" s="7">
        <f t="shared" si="1"/>
        <v>49</v>
      </c>
      <c r="M13" s="7">
        <f t="shared" si="1"/>
        <v>50</v>
      </c>
      <c r="N13" s="7">
        <f t="shared" si="1"/>
        <v>53</v>
      </c>
      <c r="O13" s="7">
        <f t="shared" si="1"/>
        <v>58</v>
      </c>
    </row>
    <row r="14" spans="1:15" x14ac:dyDescent="0.4">
      <c r="A14" s="6">
        <v>9</v>
      </c>
      <c r="B14" s="7">
        <f t="shared" si="1"/>
        <v>181</v>
      </c>
      <c r="C14" s="7">
        <f t="shared" si="1"/>
        <v>162</v>
      </c>
      <c r="D14" s="7">
        <f t="shared" si="1"/>
        <v>145</v>
      </c>
      <c r="E14" s="7">
        <f t="shared" si="1"/>
        <v>130</v>
      </c>
      <c r="F14" s="7">
        <f t="shared" si="1"/>
        <v>117</v>
      </c>
      <c r="G14" s="7">
        <f t="shared" si="1"/>
        <v>106</v>
      </c>
      <c r="H14" s="7">
        <f t="shared" si="1"/>
        <v>97</v>
      </c>
      <c r="I14" s="7">
        <f t="shared" si="1"/>
        <v>90</v>
      </c>
      <c r="J14" s="7">
        <f t="shared" si="1"/>
        <v>85</v>
      </c>
      <c r="K14" s="7">
        <f t="shared" si="1"/>
        <v>82</v>
      </c>
      <c r="L14" s="7">
        <f t="shared" si="1"/>
        <v>81</v>
      </c>
      <c r="M14" s="7">
        <f t="shared" si="1"/>
        <v>82</v>
      </c>
      <c r="N14" s="7">
        <f t="shared" si="1"/>
        <v>85</v>
      </c>
      <c r="O14" s="7">
        <f t="shared" si="1"/>
        <v>90</v>
      </c>
    </row>
    <row r="15" spans="1:15" x14ac:dyDescent="0.4">
      <c r="A15" s="6">
        <v>11</v>
      </c>
      <c r="B15" s="7">
        <f t="shared" si="1"/>
        <v>221</v>
      </c>
      <c r="C15" s="7">
        <f t="shared" si="1"/>
        <v>202</v>
      </c>
      <c r="D15" s="7">
        <f t="shared" si="1"/>
        <v>185</v>
      </c>
      <c r="E15" s="7">
        <f t="shared" si="1"/>
        <v>170</v>
      </c>
      <c r="F15" s="7">
        <f t="shared" si="1"/>
        <v>157</v>
      </c>
      <c r="G15" s="7">
        <f t="shared" si="1"/>
        <v>146</v>
      </c>
      <c r="H15" s="7">
        <f t="shared" si="1"/>
        <v>137</v>
      </c>
      <c r="I15" s="7">
        <f t="shared" si="1"/>
        <v>130</v>
      </c>
      <c r="J15" s="7">
        <f t="shared" si="1"/>
        <v>125</v>
      </c>
      <c r="K15" s="7">
        <f t="shared" si="1"/>
        <v>122</v>
      </c>
      <c r="L15" s="7">
        <f t="shared" si="1"/>
        <v>121</v>
      </c>
      <c r="M15" s="7">
        <f t="shared" si="1"/>
        <v>122</v>
      </c>
      <c r="N15" s="7">
        <f t="shared" si="1"/>
        <v>125</v>
      </c>
      <c r="O15" s="7">
        <f t="shared" si="1"/>
        <v>130</v>
      </c>
    </row>
    <row r="17" spans="1:2" x14ac:dyDescent="0.4">
      <c r="A17" s="2" t="s">
        <v>0</v>
      </c>
      <c r="B17" s="2">
        <v>1</v>
      </c>
    </row>
    <row r="18" spans="1:2" x14ac:dyDescent="0.4">
      <c r="A18" s="2" t="s">
        <v>1</v>
      </c>
      <c r="B18" s="2">
        <v>1</v>
      </c>
    </row>
  </sheetData>
  <pageMargins left="0.7" right="0.7" top="0.75" bottom="0.75" header="0.3" footer="0.3"/>
  <pageSetup paperSize="9" orientation="portrait" r:id="rId1"/>
  <headerFooter>
    <oddHeader xml:space="preserve">&amp;CСалимов Даниил Рамильевич
2 группа, 2 подгруппа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27EA8-E0CB-463B-992F-A7DE9226BFCC}">
  <dimension ref="A1:S18"/>
  <sheetViews>
    <sheetView view="pageLayout" zoomScaleNormal="65" workbookViewId="0"/>
  </sheetViews>
  <sheetFormatPr defaultColWidth="5.77734375" defaultRowHeight="19.8" x14ac:dyDescent="0.4"/>
  <cols>
    <col min="1" max="1" width="5.77734375" style="1"/>
    <col min="2" max="15" width="8.6640625" style="1" customWidth="1"/>
    <col min="16" max="18" width="5.77734375" style="1"/>
    <col min="19" max="19" width="156.5546875" style="1" customWidth="1"/>
    <col min="20" max="16384" width="5.77734375" style="1"/>
  </cols>
  <sheetData>
    <row r="1" spans="1:19" x14ac:dyDescent="0.4">
      <c r="B1" s="6">
        <v>-10</v>
      </c>
      <c r="C1" s="6">
        <v>-9</v>
      </c>
      <c r="D1" s="6">
        <v>-8</v>
      </c>
      <c r="E1" s="6">
        <v>-7</v>
      </c>
      <c r="F1" s="6">
        <v>-6</v>
      </c>
      <c r="G1" s="6">
        <v>-5</v>
      </c>
      <c r="H1" s="6">
        <v>-4</v>
      </c>
      <c r="I1" s="6">
        <v>-3</v>
      </c>
      <c r="J1" s="6">
        <v>-2</v>
      </c>
      <c r="K1" s="6">
        <v>-1</v>
      </c>
      <c r="L1" s="6">
        <v>0</v>
      </c>
      <c r="M1" s="6">
        <v>1</v>
      </c>
      <c r="N1" s="6">
        <v>2</v>
      </c>
      <c r="O1" s="6">
        <v>3</v>
      </c>
    </row>
    <row r="2" spans="1:19" x14ac:dyDescent="0.4">
      <c r="A2" s="6">
        <v>-15</v>
      </c>
      <c r="B2" s="7">
        <f>B$1^2/$B$17^2 + $A2^2/$B$18^2</f>
        <v>1825</v>
      </c>
      <c r="C2" s="7">
        <f t="shared" ref="C2:O2" si="0">C$1^2/$B$17^2 + $A2^2/$B$18^2</f>
        <v>1521</v>
      </c>
      <c r="D2" s="7">
        <f t="shared" si="0"/>
        <v>1249</v>
      </c>
      <c r="E2" s="7">
        <f t="shared" si="0"/>
        <v>1009</v>
      </c>
      <c r="F2" s="7">
        <f t="shared" si="0"/>
        <v>801</v>
      </c>
      <c r="G2" s="7">
        <f t="shared" si="0"/>
        <v>625</v>
      </c>
      <c r="H2" s="7">
        <f t="shared" si="0"/>
        <v>481</v>
      </c>
      <c r="I2" s="7">
        <f t="shared" si="0"/>
        <v>369</v>
      </c>
      <c r="J2" s="7">
        <f t="shared" si="0"/>
        <v>289</v>
      </c>
      <c r="K2" s="7">
        <f t="shared" si="0"/>
        <v>241</v>
      </c>
      <c r="L2" s="7">
        <f t="shared" si="0"/>
        <v>225</v>
      </c>
      <c r="M2" s="7">
        <f t="shared" si="0"/>
        <v>241</v>
      </c>
      <c r="N2" s="7">
        <f t="shared" si="0"/>
        <v>289</v>
      </c>
      <c r="O2" s="7">
        <f t="shared" si="0"/>
        <v>369</v>
      </c>
      <c r="S2" s="1" t="s">
        <v>5</v>
      </c>
    </row>
    <row r="3" spans="1:19" x14ac:dyDescent="0.4">
      <c r="A3" s="6">
        <v>-13</v>
      </c>
      <c r="B3" s="7">
        <f t="shared" ref="B3:O15" si="1">B$1^2/$B$17^2 + $A3^2/$B$18^2</f>
        <v>1769</v>
      </c>
      <c r="C3" s="7">
        <f t="shared" si="1"/>
        <v>1465</v>
      </c>
      <c r="D3" s="7">
        <f t="shared" si="1"/>
        <v>1193</v>
      </c>
      <c r="E3" s="7">
        <f t="shared" si="1"/>
        <v>953</v>
      </c>
      <c r="F3" s="7">
        <f>F$1^2/$B$17^2 + $A3^2/$B$18^2</f>
        <v>745</v>
      </c>
      <c r="G3" s="7">
        <f t="shared" si="1"/>
        <v>569</v>
      </c>
      <c r="H3" s="7">
        <f t="shared" si="1"/>
        <v>425</v>
      </c>
      <c r="I3" s="7">
        <f t="shared" si="1"/>
        <v>313</v>
      </c>
      <c r="J3" s="7">
        <f t="shared" si="1"/>
        <v>233</v>
      </c>
      <c r="K3" s="7">
        <f t="shared" si="1"/>
        <v>185</v>
      </c>
      <c r="L3" s="7">
        <f t="shared" si="1"/>
        <v>169</v>
      </c>
      <c r="M3" s="7">
        <f t="shared" si="1"/>
        <v>185</v>
      </c>
      <c r="N3" s="7">
        <f t="shared" si="1"/>
        <v>233</v>
      </c>
      <c r="O3" s="7">
        <f t="shared" si="1"/>
        <v>313</v>
      </c>
    </row>
    <row r="4" spans="1:19" x14ac:dyDescent="0.4">
      <c r="A4" s="6">
        <v>-11</v>
      </c>
      <c r="B4" s="7">
        <f t="shared" si="1"/>
        <v>1721</v>
      </c>
      <c r="C4" s="7">
        <f t="shared" si="1"/>
        <v>1417</v>
      </c>
      <c r="D4" s="7">
        <f t="shared" si="1"/>
        <v>1145</v>
      </c>
      <c r="E4" s="7">
        <f t="shared" si="1"/>
        <v>905</v>
      </c>
      <c r="F4" s="7">
        <f t="shared" si="1"/>
        <v>697</v>
      </c>
      <c r="G4" s="7">
        <f t="shared" si="1"/>
        <v>521</v>
      </c>
      <c r="H4" s="7">
        <f t="shared" si="1"/>
        <v>377</v>
      </c>
      <c r="I4" s="7">
        <f t="shared" si="1"/>
        <v>265</v>
      </c>
      <c r="J4" s="7">
        <f t="shared" si="1"/>
        <v>185</v>
      </c>
      <c r="K4" s="7">
        <f t="shared" si="1"/>
        <v>137</v>
      </c>
      <c r="L4" s="7">
        <f t="shared" si="1"/>
        <v>121</v>
      </c>
      <c r="M4" s="7">
        <f t="shared" si="1"/>
        <v>137</v>
      </c>
      <c r="N4" s="7">
        <f t="shared" si="1"/>
        <v>185</v>
      </c>
      <c r="O4" s="7">
        <f t="shared" si="1"/>
        <v>265</v>
      </c>
    </row>
    <row r="5" spans="1:19" x14ac:dyDescent="0.4">
      <c r="A5" s="6">
        <v>-9</v>
      </c>
      <c r="B5" s="7">
        <f t="shared" si="1"/>
        <v>1681</v>
      </c>
      <c r="C5" s="7">
        <f t="shared" si="1"/>
        <v>1377</v>
      </c>
      <c r="D5" s="7">
        <f t="shared" si="1"/>
        <v>1105</v>
      </c>
      <c r="E5" s="7">
        <f t="shared" si="1"/>
        <v>865</v>
      </c>
      <c r="F5" s="7">
        <f t="shared" si="1"/>
        <v>657</v>
      </c>
      <c r="G5" s="7">
        <f t="shared" si="1"/>
        <v>481</v>
      </c>
      <c r="H5" s="7">
        <f t="shared" si="1"/>
        <v>337</v>
      </c>
      <c r="I5" s="7">
        <f t="shared" si="1"/>
        <v>225</v>
      </c>
      <c r="J5" s="7">
        <f t="shared" si="1"/>
        <v>145</v>
      </c>
      <c r="K5" s="7">
        <f t="shared" si="1"/>
        <v>97</v>
      </c>
      <c r="L5" s="7">
        <f>L$1^2/$B$17^2 + $A5^2/$B$18^2</f>
        <v>81</v>
      </c>
      <c r="M5" s="7">
        <f t="shared" si="1"/>
        <v>97</v>
      </c>
      <c r="N5" s="7">
        <f t="shared" si="1"/>
        <v>145</v>
      </c>
      <c r="O5" s="7">
        <f t="shared" si="1"/>
        <v>225</v>
      </c>
    </row>
    <row r="6" spans="1:19" x14ac:dyDescent="0.4">
      <c r="A6" s="6">
        <v>-7</v>
      </c>
      <c r="B6" s="7">
        <f t="shared" si="1"/>
        <v>1649</v>
      </c>
      <c r="C6" s="7">
        <f t="shared" si="1"/>
        <v>1345</v>
      </c>
      <c r="D6" s="7">
        <f t="shared" si="1"/>
        <v>1073</v>
      </c>
      <c r="E6" s="7">
        <f t="shared" si="1"/>
        <v>833</v>
      </c>
      <c r="F6" s="7">
        <f t="shared" si="1"/>
        <v>625</v>
      </c>
      <c r="G6" s="7">
        <f t="shared" si="1"/>
        <v>449</v>
      </c>
      <c r="H6" s="7">
        <f t="shared" si="1"/>
        <v>305</v>
      </c>
      <c r="I6" s="7">
        <f t="shared" si="1"/>
        <v>193</v>
      </c>
      <c r="J6" s="7">
        <f t="shared" si="1"/>
        <v>113</v>
      </c>
      <c r="K6" s="7">
        <f t="shared" si="1"/>
        <v>65</v>
      </c>
      <c r="L6" s="7">
        <f t="shared" si="1"/>
        <v>49</v>
      </c>
      <c r="M6" s="7">
        <f t="shared" si="1"/>
        <v>65</v>
      </c>
      <c r="N6" s="7">
        <f t="shared" si="1"/>
        <v>113</v>
      </c>
      <c r="O6" s="7">
        <f t="shared" si="1"/>
        <v>193</v>
      </c>
    </row>
    <row r="7" spans="1:19" x14ac:dyDescent="0.4">
      <c r="A7" s="6">
        <v>-5</v>
      </c>
      <c r="B7" s="7">
        <f t="shared" si="1"/>
        <v>1625</v>
      </c>
      <c r="C7" s="7">
        <f t="shared" si="1"/>
        <v>1321</v>
      </c>
      <c r="D7" s="7">
        <f t="shared" si="1"/>
        <v>1049</v>
      </c>
      <c r="E7" s="7">
        <f t="shared" si="1"/>
        <v>809</v>
      </c>
      <c r="F7" s="7">
        <f t="shared" si="1"/>
        <v>601</v>
      </c>
      <c r="G7" s="7">
        <f t="shared" si="1"/>
        <v>425</v>
      </c>
      <c r="H7" s="7">
        <f t="shared" si="1"/>
        <v>281</v>
      </c>
      <c r="I7" s="7">
        <f t="shared" si="1"/>
        <v>169</v>
      </c>
      <c r="J7" s="7">
        <f t="shared" si="1"/>
        <v>89</v>
      </c>
      <c r="K7" s="7">
        <f t="shared" si="1"/>
        <v>41</v>
      </c>
      <c r="L7" s="7">
        <f t="shared" si="1"/>
        <v>25</v>
      </c>
      <c r="M7" s="7">
        <f t="shared" si="1"/>
        <v>41</v>
      </c>
      <c r="N7" s="7">
        <f t="shared" si="1"/>
        <v>89</v>
      </c>
      <c r="O7" s="7">
        <f t="shared" si="1"/>
        <v>169</v>
      </c>
    </row>
    <row r="8" spans="1:19" x14ac:dyDescent="0.4">
      <c r="A8" s="6">
        <v>-3</v>
      </c>
      <c r="B8" s="7">
        <f t="shared" si="1"/>
        <v>1609</v>
      </c>
      <c r="C8" s="7">
        <f t="shared" si="1"/>
        <v>1305</v>
      </c>
      <c r="D8" s="7">
        <f t="shared" si="1"/>
        <v>1033</v>
      </c>
      <c r="E8" s="7">
        <f t="shared" si="1"/>
        <v>793</v>
      </c>
      <c r="F8" s="7">
        <f t="shared" si="1"/>
        <v>585</v>
      </c>
      <c r="G8" s="7">
        <f t="shared" si="1"/>
        <v>409</v>
      </c>
      <c r="H8" s="7">
        <f t="shared" si="1"/>
        <v>265</v>
      </c>
      <c r="I8" s="7">
        <f t="shared" si="1"/>
        <v>153</v>
      </c>
      <c r="J8" s="7">
        <f t="shared" si="1"/>
        <v>73</v>
      </c>
      <c r="K8" s="7">
        <f t="shared" si="1"/>
        <v>25</v>
      </c>
      <c r="L8" s="7">
        <f t="shared" si="1"/>
        <v>9</v>
      </c>
      <c r="M8" s="7">
        <f t="shared" si="1"/>
        <v>25</v>
      </c>
      <c r="N8" s="7">
        <f t="shared" si="1"/>
        <v>73</v>
      </c>
      <c r="O8" s="7">
        <f t="shared" si="1"/>
        <v>153</v>
      </c>
    </row>
    <row r="9" spans="1:19" x14ac:dyDescent="0.4">
      <c r="A9" s="6">
        <v>-1</v>
      </c>
      <c r="B9" s="7">
        <f t="shared" si="1"/>
        <v>1601</v>
      </c>
      <c r="C9" s="7">
        <f t="shared" si="1"/>
        <v>1297</v>
      </c>
      <c r="D9" s="7">
        <f t="shared" si="1"/>
        <v>1025</v>
      </c>
      <c r="E9" s="7">
        <f t="shared" si="1"/>
        <v>785</v>
      </c>
      <c r="F9" s="7">
        <f t="shared" si="1"/>
        <v>577</v>
      </c>
      <c r="G9" s="7">
        <f t="shared" si="1"/>
        <v>401</v>
      </c>
      <c r="H9" s="7">
        <f t="shared" si="1"/>
        <v>257</v>
      </c>
      <c r="I9" s="7">
        <f t="shared" si="1"/>
        <v>145</v>
      </c>
      <c r="J9" s="7">
        <f t="shared" si="1"/>
        <v>65</v>
      </c>
      <c r="K9" s="7">
        <f t="shared" si="1"/>
        <v>17</v>
      </c>
      <c r="L9" s="7">
        <f t="shared" si="1"/>
        <v>1</v>
      </c>
      <c r="M9" s="7">
        <f t="shared" si="1"/>
        <v>17</v>
      </c>
      <c r="N9" s="7">
        <f t="shared" si="1"/>
        <v>65</v>
      </c>
      <c r="O9" s="7">
        <f t="shared" si="1"/>
        <v>145</v>
      </c>
    </row>
    <row r="10" spans="1:19" x14ac:dyDescent="0.4">
      <c r="A10" s="6">
        <v>1</v>
      </c>
      <c r="B10" s="7">
        <f t="shared" si="1"/>
        <v>1601</v>
      </c>
      <c r="C10" s="7">
        <f t="shared" si="1"/>
        <v>1297</v>
      </c>
      <c r="D10" s="7">
        <f t="shared" si="1"/>
        <v>1025</v>
      </c>
      <c r="E10" s="7">
        <f t="shared" si="1"/>
        <v>785</v>
      </c>
      <c r="F10" s="7">
        <f t="shared" si="1"/>
        <v>577</v>
      </c>
      <c r="G10" s="7">
        <f t="shared" si="1"/>
        <v>401</v>
      </c>
      <c r="H10" s="7">
        <f t="shared" si="1"/>
        <v>257</v>
      </c>
      <c r="I10" s="7">
        <f t="shared" si="1"/>
        <v>145</v>
      </c>
      <c r="J10" s="7">
        <f t="shared" si="1"/>
        <v>65</v>
      </c>
      <c r="K10" s="7">
        <f t="shared" si="1"/>
        <v>17</v>
      </c>
      <c r="L10" s="7">
        <f t="shared" si="1"/>
        <v>1</v>
      </c>
      <c r="M10" s="7">
        <f t="shared" si="1"/>
        <v>17</v>
      </c>
      <c r="N10" s="7">
        <f t="shared" si="1"/>
        <v>65</v>
      </c>
      <c r="O10" s="7">
        <f t="shared" si="1"/>
        <v>145</v>
      </c>
    </row>
    <row r="11" spans="1:19" x14ac:dyDescent="0.4">
      <c r="A11" s="6">
        <v>3</v>
      </c>
      <c r="B11" s="7">
        <f t="shared" si="1"/>
        <v>1609</v>
      </c>
      <c r="C11" s="7">
        <f t="shared" si="1"/>
        <v>1305</v>
      </c>
      <c r="D11" s="7">
        <f t="shared" si="1"/>
        <v>1033</v>
      </c>
      <c r="E11" s="7">
        <f t="shared" si="1"/>
        <v>793</v>
      </c>
      <c r="F11" s="7">
        <f t="shared" si="1"/>
        <v>585</v>
      </c>
      <c r="G11" s="7">
        <f t="shared" si="1"/>
        <v>409</v>
      </c>
      <c r="H11" s="7">
        <f t="shared" si="1"/>
        <v>265</v>
      </c>
      <c r="I11" s="7">
        <f t="shared" si="1"/>
        <v>153</v>
      </c>
      <c r="J11" s="7">
        <f t="shared" si="1"/>
        <v>73</v>
      </c>
      <c r="K11" s="7">
        <f t="shared" si="1"/>
        <v>25</v>
      </c>
      <c r="L11" s="7">
        <f t="shared" si="1"/>
        <v>9</v>
      </c>
      <c r="M11" s="7">
        <f t="shared" si="1"/>
        <v>25</v>
      </c>
      <c r="N11" s="7">
        <f t="shared" si="1"/>
        <v>73</v>
      </c>
      <c r="O11" s="7">
        <f t="shared" si="1"/>
        <v>153</v>
      </c>
    </row>
    <row r="12" spans="1:19" x14ac:dyDescent="0.4">
      <c r="A12" s="6">
        <v>5</v>
      </c>
      <c r="B12" s="7">
        <f t="shared" si="1"/>
        <v>1625</v>
      </c>
      <c r="C12" s="7">
        <f t="shared" si="1"/>
        <v>1321</v>
      </c>
      <c r="D12" s="7">
        <f t="shared" si="1"/>
        <v>1049</v>
      </c>
      <c r="E12" s="7">
        <f t="shared" si="1"/>
        <v>809</v>
      </c>
      <c r="F12" s="7">
        <f t="shared" si="1"/>
        <v>601</v>
      </c>
      <c r="G12" s="7">
        <f t="shared" si="1"/>
        <v>425</v>
      </c>
      <c r="H12" s="7">
        <f t="shared" si="1"/>
        <v>281</v>
      </c>
      <c r="I12" s="7">
        <f t="shared" si="1"/>
        <v>169</v>
      </c>
      <c r="J12" s="7">
        <f t="shared" si="1"/>
        <v>89</v>
      </c>
      <c r="K12" s="7">
        <f t="shared" si="1"/>
        <v>41</v>
      </c>
      <c r="L12" s="7">
        <f t="shared" si="1"/>
        <v>25</v>
      </c>
      <c r="M12" s="7">
        <f t="shared" si="1"/>
        <v>41</v>
      </c>
      <c r="N12" s="7">
        <f t="shared" si="1"/>
        <v>89</v>
      </c>
      <c r="O12" s="7">
        <f t="shared" si="1"/>
        <v>169</v>
      </c>
    </row>
    <row r="13" spans="1:19" x14ac:dyDescent="0.4">
      <c r="A13" s="6">
        <v>7</v>
      </c>
      <c r="B13" s="7">
        <f t="shared" si="1"/>
        <v>1649</v>
      </c>
      <c r="C13" s="7">
        <f t="shared" si="1"/>
        <v>1345</v>
      </c>
      <c r="D13" s="7">
        <f t="shared" si="1"/>
        <v>1073</v>
      </c>
      <c r="E13" s="7">
        <f t="shared" si="1"/>
        <v>833</v>
      </c>
      <c r="F13" s="7">
        <f t="shared" si="1"/>
        <v>625</v>
      </c>
      <c r="G13" s="7">
        <f t="shared" si="1"/>
        <v>449</v>
      </c>
      <c r="H13" s="7">
        <f t="shared" si="1"/>
        <v>305</v>
      </c>
      <c r="I13" s="7">
        <f t="shared" si="1"/>
        <v>193</v>
      </c>
      <c r="J13" s="7">
        <f t="shared" si="1"/>
        <v>113</v>
      </c>
      <c r="K13" s="7">
        <f t="shared" si="1"/>
        <v>65</v>
      </c>
      <c r="L13" s="7">
        <f t="shared" si="1"/>
        <v>49</v>
      </c>
      <c r="M13" s="7">
        <f t="shared" si="1"/>
        <v>65</v>
      </c>
      <c r="N13" s="7">
        <f t="shared" si="1"/>
        <v>113</v>
      </c>
      <c r="O13" s="7">
        <f t="shared" si="1"/>
        <v>193</v>
      </c>
    </row>
    <row r="14" spans="1:19" x14ac:dyDescent="0.4">
      <c r="A14" s="6">
        <v>9</v>
      </c>
      <c r="B14" s="7">
        <f t="shared" si="1"/>
        <v>1681</v>
      </c>
      <c r="C14" s="7">
        <f t="shared" si="1"/>
        <v>1377</v>
      </c>
      <c r="D14" s="7">
        <f t="shared" si="1"/>
        <v>1105</v>
      </c>
      <c r="E14" s="7">
        <f t="shared" si="1"/>
        <v>865</v>
      </c>
      <c r="F14" s="7">
        <f t="shared" si="1"/>
        <v>657</v>
      </c>
      <c r="G14" s="7">
        <f t="shared" si="1"/>
        <v>481</v>
      </c>
      <c r="H14" s="7">
        <f t="shared" si="1"/>
        <v>337</v>
      </c>
      <c r="I14" s="7">
        <f t="shared" si="1"/>
        <v>225</v>
      </c>
      <c r="J14" s="7">
        <f t="shared" si="1"/>
        <v>145</v>
      </c>
      <c r="K14" s="7">
        <f t="shared" si="1"/>
        <v>97</v>
      </c>
      <c r="L14" s="7">
        <f t="shared" si="1"/>
        <v>81</v>
      </c>
      <c r="M14" s="7">
        <f t="shared" si="1"/>
        <v>97</v>
      </c>
      <c r="N14" s="7">
        <f t="shared" si="1"/>
        <v>145</v>
      </c>
      <c r="O14" s="7">
        <f t="shared" si="1"/>
        <v>225</v>
      </c>
    </row>
    <row r="15" spans="1:19" x14ac:dyDescent="0.4">
      <c r="A15" s="6">
        <v>11</v>
      </c>
      <c r="B15" s="7">
        <f t="shared" si="1"/>
        <v>1721</v>
      </c>
      <c r="C15" s="7">
        <f t="shared" si="1"/>
        <v>1417</v>
      </c>
      <c r="D15" s="7">
        <f t="shared" si="1"/>
        <v>1145</v>
      </c>
      <c r="E15" s="7">
        <f t="shared" si="1"/>
        <v>905</v>
      </c>
      <c r="F15" s="7">
        <f t="shared" si="1"/>
        <v>697</v>
      </c>
      <c r="G15" s="7">
        <f t="shared" si="1"/>
        <v>521</v>
      </c>
      <c r="H15" s="7">
        <f t="shared" si="1"/>
        <v>377</v>
      </c>
      <c r="I15" s="7">
        <f t="shared" si="1"/>
        <v>265</v>
      </c>
      <c r="J15" s="7">
        <f t="shared" si="1"/>
        <v>185</v>
      </c>
      <c r="K15" s="7">
        <f t="shared" si="1"/>
        <v>137</v>
      </c>
      <c r="L15" s="7">
        <f t="shared" si="1"/>
        <v>121</v>
      </c>
      <c r="M15" s="7">
        <f t="shared" si="1"/>
        <v>137</v>
      </c>
      <c r="N15" s="7">
        <f t="shared" si="1"/>
        <v>185</v>
      </c>
      <c r="O15" s="7">
        <f t="shared" si="1"/>
        <v>265</v>
      </c>
    </row>
    <row r="17" spans="1:2" x14ac:dyDescent="0.4">
      <c r="A17" s="2" t="s">
        <v>0</v>
      </c>
      <c r="B17" s="2">
        <v>0.25</v>
      </c>
    </row>
    <row r="18" spans="1:2" x14ac:dyDescent="0.4">
      <c r="A18" s="2" t="s">
        <v>1</v>
      </c>
      <c r="B18" s="2">
        <v>1</v>
      </c>
    </row>
  </sheetData>
  <pageMargins left="0.7" right="0.7" top="0.75" bottom="0.75" header="0.3" footer="0.3"/>
  <pageSetup paperSize="9" orientation="portrait" r:id="rId1"/>
  <headerFooter>
    <oddHeader xml:space="preserve">&amp;CСалимов Даниил Рамильевич.
2 группа, 2 подгруппа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 2.1</vt:lpstr>
      <vt:lpstr>Задание 2.2</vt:lpstr>
      <vt:lpstr>Задание 2.2 (2 часть)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psm</dc:creator>
  <cp:lastModifiedBy>psm</cp:lastModifiedBy>
  <dcterms:created xsi:type="dcterms:W3CDTF">2015-06-05T18:19:34Z</dcterms:created>
  <dcterms:modified xsi:type="dcterms:W3CDTF">2022-09-22T18:05:03Z</dcterms:modified>
</cp:coreProperties>
</file>