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E2E931D1-3294-4CDC-B6D5-15E54CB2880F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3" i="1"/>
  <c r="G5" i="1"/>
  <c r="G6" i="1"/>
  <c r="G7" i="1"/>
  <c r="G8" i="1"/>
  <c r="G9" i="1"/>
  <c r="G10" i="1"/>
  <c r="G11" i="1"/>
  <c r="G4" i="1"/>
  <c r="G3" i="1"/>
  <c r="F5" i="1"/>
  <c r="F6" i="1"/>
  <c r="F7" i="1"/>
  <c r="F8" i="1"/>
  <c r="F9" i="1"/>
  <c r="F10" i="1"/>
  <c r="F11" i="1"/>
  <c r="F4" i="1"/>
  <c r="F3" i="1"/>
</calcChain>
</file>

<file path=xl/sharedStrings.xml><?xml version="1.0" encoding="utf-8"?>
<sst xmlns="http://schemas.openxmlformats.org/spreadsheetml/2006/main" count="8" uniqueCount="8">
  <si>
    <t>E</t>
  </si>
  <si>
    <t>R</t>
  </si>
  <si>
    <t>r</t>
  </si>
  <si>
    <t>I</t>
  </si>
  <si>
    <t>U(I)</t>
  </si>
  <si>
    <t>P(I)</t>
  </si>
  <si>
    <t>Рп(I)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</si>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</sst>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Графики</a:t>
            </a:r>
            <a:r>
              <a:rPr lang="ru-RU" baseline="0"/>
              <a:t> зависимостей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Лист1!$G$3:$G$11</c:f>
              <c:numCache>
                <c:formatCode>General</c:formatCode>
                <c:ptCount val="9"/>
                <c:pt idx="0">
                  <c:v>2.3684210526315792</c:v>
                </c:pt>
                <c:pt idx="1">
                  <c:v>2.2222222222222223</c:v>
                </c:pt>
                <c:pt idx="2">
                  <c:v>2.0588235294117645</c:v>
                </c:pt>
                <c:pt idx="3">
                  <c:v>1.875</c:v>
                </c:pt>
                <c:pt idx="4">
                  <c:v>1.666666666666667</c:v>
                </c:pt>
                <c:pt idx="5">
                  <c:v>1.4285714285714284</c:v>
                </c:pt>
                <c:pt idx="6">
                  <c:v>1.1538461538461537</c:v>
                </c:pt>
                <c:pt idx="7">
                  <c:v>0.83333333333333304</c:v>
                </c:pt>
                <c:pt idx="8">
                  <c:v>0.45454545454545503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A4-42B2-BE4A-6E72357771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Лист1!$H$3:$H$11</c:f>
              <c:numCache>
                <c:formatCode>General</c:formatCode>
                <c:ptCount val="9"/>
                <c:pt idx="0">
                  <c:v>1.3157894736842104</c:v>
                </c:pt>
                <c:pt idx="1">
                  <c:v>1.3888888888888888</c:v>
                </c:pt>
                <c:pt idx="2">
                  <c:v>1.4705882352941178</c:v>
                </c:pt>
                <c:pt idx="3">
                  <c:v>1.5625</c:v>
                </c:pt>
                <c:pt idx="4">
                  <c:v>1.6666666666666665</c:v>
                </c:pt>
                <c:pt idx="5">
                  <c:v>1.7857142857142858</c:v>
                </c:pt>
                <c:pt idx="6">
                  <c:v>1.9230769230769231</c:v>
                </c:pt>
                <c:pt idx="7">
                  <c:v>2.0833333333333335</c:v>
                </c:pt>
                <c:pt idx="8">
                  <c:v>2.2727272727272725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A4-42B2-BE4A-6E72357771F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Лист1!$I$3:$I$11</c:f>
              <c:numCache>
                <c:formatCode>General</c:formatCode>
                <c:ptCount val="9"/>
                <c:pt idx="0">
                  <c:v>0.62326869806094176</c:v>
                </c:pt>
                <c:pt idx="1">
                  <c:v>0.61728395061728381</c:v>
                </c:pt>
                <c:pt idx="2">
                  <c:v>0.60553633217993086</c:v>
                </c:pt>
                <c:pt idx="3">
                  <c:v>0.5859375</c:v>
                </c:pt>
                <c:pt idx="4">
                  <c:v>0.55555555555555536</c:v>
                </c:pt>
                <c:pt idx="5">
                  <c:v>0.51020408163265318</c:v>
                </c:pt>
                <c:pt idx="6">
                  <c:v>0.44378698224852076</c:v>
                </c:pt>
                <c:pt idx="7">
                  <c:v>0.3472222222222221</c:v>
                </c:pt>
                <c:pt idx="8">
                  <c:v>0.20661157024793386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A4-42B2-BE4A-6E72357771F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Лист1!$J$3:$J$11</c:f>
              <c:numCache>
                <c:formatCode>General</c:formatCode>
                <c:ptCount val="9"/>
                <c:pt idx="0">
                  <c:v>0.47368421052631576</c:v>
                </c:pt>
                <c:pt idx="1">
                  <c:v>0.44444444444444436</c:v>
                </c:pt>
                <c:pt idx="2">
                  <c:v>0.41176470588235298</c:v>
                </c:pt>
                <c:pt idx="3">
                  <c:v>0.375</c:v>
                </c:pt>
                <c:pt idx="4">
                  <c:v>0.33333333333333326</c:v>
                </c:pt>
                <c:pt idx="5">
                  <c:v>0.28571428571428575</c:v>
                </c:pt>
                <c:pt idx="6">
                  <c:v>0.23076923076923078</c:v>
                </c:pt>
                <c:pt idx="7">
                  <c:v>0.1666666666666666</c:v>
                </c:pt>
                <c:pt idx="8">
                  <c:v>9.0909090909090912E-2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A4-42B2-BE4A-6E723577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515456"/>
        <c:axId val="1890361472"/>
      </c:scatterChart>
      <c:valAx>
        <c:axId val="1886515456"/>
        <c:scaling>
          <c:orientation val="minMax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361472"/>
        <c:crosses val="autoZero"/>
        <c:crossBetween val="midCat"/>
      </c:valAx>
      <c:valAx>
        <c:axId val="18903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651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Напряжение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Лист1!$G$3:$G$11</c:f>
              <c:numCache>
                <c:formatCode>General</c:formatCode>
                <c:ptCount val="9"/>
                <c:pt idx="0">
                  <c:v>2.3684210526315792</c:v>
                </c:pt>
                <c:pt idx="1">
                  <c:v>2.2222222222222223</c:v>
                </c:pt>
                <c:pt idx="2">
                  <c:v>2.0588235294117645</c:v>
                </c:pt>
                <c:pt idx="3">
                  <c:v>1.875</c:v>
                </c:pt>
                <c:pt idx="4">
                  <c:v>1.666666666666667</c:v>
                </c:pt>
                <c:pt idx="5">
                  <c:v>1.4285714285714284</c:v>
                </c:pt>
                <c:pt idx="6">
                  <c:v>1.1538461538461537</c:v>
                </c:pt>
                <c:pt idx="7">
                  <c:v>0.83333333333333304</c:v>
                </c:pt>
                <c:pt idx="8">
                  <c:v>0.45454545454545503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C4-4C94-BAE1-D1D80530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517056"/>
        <c:axId val="1969910112"/>
      </c:scatterChart>
      <c:valAx>
        <c:axId val="188651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910112"/>
        <c:crosses val="autoZero"/>
        <c:crossBetween val="midCat"/>
      </c:valAx>
      <c:valAx>
        <c:axId val="196991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651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Полная мощность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Лист1!$H$3:$H$11</c:f>
              <c:numCache>
                <c:formatCode>General</c:formatCode>
                <c:ptCount val="9"/>
                <c:pt idx="0">
                  <c:v>1.3157894736842104</c:v>
                </c:pt>
                <c:pt idx="1">
                  <c:v>1.3888888888888888</c:v>
                </c:pt>
                <c:pt idx="2">
                  <c:v>1.4705882352941178</c:v>
                </c:pt>
                <c:pt idx="3">
                  <c:v>1.5625</c:v>
                </c:pt>
                <c:pt idx="4">
                  <c:v>1.6666666666666665</c:v>
                </c:pt>
                <c:pt idx="5">
                  <c:v>1.7857142857142858</c:v>
                </c:pt>
                <c:pt idx="6">
                  <c:v>1.9230769230769231</c:v>
                </c:pt>
                <c:pt idx="7">
                  <c:v>2.0833333333333335</c:v>
                </c:pt>
                <c:pt idx="8">
                  <c:v>2.2727272727272725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93-457E-BE27-A80BA8B5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30336"/>
        <c:axId val="2073982896"/>
      </c:scatterChart>
      <c:valAx>
        <c:axId val="20734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982896"/>
        <c:crosses val="autoZero"/>
        <c:crossBetween val="midCat"/>
      </c:valAx>
      <c:valAx>
        <c:axId val="20739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43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Полезная мощность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Лист1!$I$3:$I$11</c:f>
              <c:numCache>
                <c:formatCode>General</c:formatCode>
                <c:ptCount val="9"/>
                <c:pt idx="0">
                  <c:v>0.62326869806094176</c:v>
                </c:pt>
                <c:pt idx="1">
                  <c:v>0.61728395061728381</c:v>
                </c:pt>
                <c:pt idx="2">
                  <c:v>0.60553633217993086</c:v>
                </c:pt>
                <c:pt idx="3">
                  <c:v>0.5859375</c:v>
                </c:pt>
                <c:pt idx="4">
                  <c:v>0.55555555555555536</c:v>
                </c:pt>
                <c:pt idx="5">
                  <c:v>0.51020408163265318</c:v>
                </c:pt>
                <c:pt idx="6">
                  <c:v>0.44378698224852076</c:v>
                </c:pt>
                <c:pt idx="7">
                  <c:v>0.3472222222222221</c:v>
                </c:pt>
                <c:pt idx="8">
                  <c:v>0.20661157024793386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B4-441A-ABCE-039EA2BC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53776"/>
        <c:axId val="1610692912"/>
      </c:scatterChart>
      <c:valAx>
        <c:axId val="207285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692912"/>
        <c:crosses val="autoZero"/>
        <c:crossBetween val="midCat"/>
      </c:valAx>
      <c:valAx>
        <c:axId val="161069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85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КПД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Лист1!$F$3:$F$11</c:f>
              <c:numCache>
                <c:formatCode>General</c:formatCode>
                <c:ptCount val="9"/>
                <c:pt idx="0">
                  <c:v>0.26315789473684209</c:v>
                </c:pt>
                <c:pt idx="1">
                  <c:v>0.27777777777777779</c:v>
                </c:pt>
                <c:pt idx="2">
                  <c:v>0.29411764705882354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0.35714285714285715</c:v>
                </c:pt>
                <c:pt idx="6">
                  <c:v>0.38461538461538464</c:v>
                </c:pt>
                <c:pt idx="7">
                  <c:v>0.41666666666666669</c:v>
                </c:pt>
                <c:pt idx="8">
                  <c:v>0.45454545454545453</c:v>
                </c:pt>
              </c:numCache>
            </c:numRef>
          </c:xVal>
          <c:yVal>
            <c:numRef>
              <c:f>Лист1!$J$3:$J$11</c:f>
              <c:numCache>
                <c:formatCode>General</c:formatCode>
                <c:ptCount val="9"/>
                <c:pt idx="0">
                  <c:v>0.47368421052631576</c:v>
                </c:pt>
                <c:pt idx="1">
                  <c:v>0.44444444444444436</c:v>
                </c:pt>
                <c:pt idx="2">
                  <c:v>0.41176470588235298</c:v>
                </c:pt>
                <c:pt idx="3">
                  <c:v>0.375</c:v>
                </c:pt>
                <c:pt idx="4">
                  <c:v>0.33333333333333326</c:v>
                </c:pt>
                <c:pt idx="5">
                  <c:v>0.28571428571428575</c:v>
                </c:pt>
                <c:pt idx="6">
                  <c:v>0.23076923076923078</c:v>
                </c:pt>
                <c:pt idx="7">
                  <c:v>0.1666666666666666</c:v>
                </c:pt>
                <c:pt idx="8">
                  <c:v>9.0909090909090912E-2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61-4534-B45D-2E31B6140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439936"/>
        <c:axId val="1968664160"/>
      </c:scatterChart>
      <c:valAx>
        <c:axId val="207343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664160"/>
        <c:crosses val="autoZero"/>
        <c:crossBetween val="midCat"/>
      </c:valAx>
      <c:valAx>
        <c:axId val="196866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43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0</xdr:row>
      <xdr:rowOff>171450</xdr:rowOff>
    </xdr:from>
    <xdr:to>
      <xdr:col>17</xdr:col>
      <xdr:colOff>533400</xdr:colOff>
      <xdr:row>15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A8A436-A975-4708-A777-757B0E66E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16</xdr:row>
      <xdr:rowOff>148590</xdr:rowOff>
    </xdr:from>
    <xdr:to>
      <xdr:col>17</xdr:col>
      <xdr:colOff>518160</xdr:colOff>
      <xdr:row>31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8E20D08-8FE5-4D2C-AF94-17C4DFB19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396240</xdr:colOff>
      <xdr:row>16</xdr:row>
      <xdr:rowOff>163830</xdr:rowOff>
    </xdr:from>
    <xdr:to>
      <xdr:col>10</xdr:col>
      <xdr:colOff>91440</xdr:colOff>
      <xdr:row>31</xdr:row>
      <xdr:rowOff>163830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B17F03F-A0E9-44FE-8768-ED3664EEB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114300</xdr:colOff>
      <xdr:row>0</xdr:row>
      <xdr:rowOff>171450</xdr:rowOff>
    </xdr:from>
    <xdr:to>
      <xdr:col>25</xdr:col>
      <xdr:colOff>419100</xdr:colOff>
      <xdr:row>15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2377E57-FC7C-4073-9C24-132363639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129540</xdr:colOff>
      <xdr:row>16</xdr:row>
      <xdr:rowOff>118110</xdr:rowOff>
    </xdr:from>
    <xdr:to>
      <xdr:col>25</xdr:col>
      <xdr:colOff>434340</xdr:colOff>
      <xdr:row>31</xdr:row>
      <xdr:rowOff>118110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2943F78-BC4F-44DA-9AB4-73BD17A9A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"/>
  <sheetViews>
    <sheetView tabSelected="1" zoomScale="145" zoomScaleNormal="145" workbookViewId="0">
      <selection activeCell="S17" sqref="S17"/>
    </sheetView>
  </sheetViews>
  <sheetFormatPr defaultRowHeight="14.4" x14ac:dyDescent="0.3"/>
  <sheetData>
    <row r="2" spans="1:10" x14ac:dyDescent="0.3">
      <c r="A2" s="2" t="s">
        <v>0</v>
      </c>
      <c r="B2" s="3">
        <v>5</v>
      </c>
      <c r="C2" s="2" t="s">
        <v>2</v>
      </c>
      <c r="D2" s="3">
        <v>10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1:10" x14ac:dyDescent="0.3">
      <c r="A3" s="2" t="s">
        <v>1</v>
      </c>
      <c r="B3" s="1"/>
      <c r="C3" s="1"/>
      <c r="D3" s="1"/>
      <c r="E3" s="1"/>
      <c r="F3" s="3">
        <f>$B$2/(A4+$D$2)</f>
        <v>0.26315789473684209</v>
      </c>
      <c r="G3" s="3">
        <f>$B$2-F3*$D$2</f>
        <v>2.3684210526315792</v>
      </c>
      <c r="H3" s="3">
        <f>$B$2*F3</f>
        <v>1.3157894736842104</v>
      </c>
      <c r="I3" s="3">
        <f>$B$2*F3-F3*F3*$D$2</f>
        <v>0.62326869806094176</v>
      </c>
      <c r="J3" s="3">
        <f>I3/H3</f>
        <v>0.47368421052631576</v>
      </c>
    </row>
    <row r="4" spans="1:10" x14ac:dyDescent="0.3">
      <c r="A4" s="3">
        <v>9</v>
      </c>
      <c r="F4" s="3">
        <f>$B$2/(A5+$D$2)</f>
        <v>0.27777777777777779</v>
      </c>
      <c r="G4" s="3">
        <f>$B$2-F4*$D$2</f>
        <v>2.2222222222222223</v>
      </c>
      <c r="H4" s="3">
        <f t="shared" ref="H4:H11" si="0">$B$2*F4</f>
        <v>1.3888888888888888</v>
      </c>
      <c r="I4" s="3">
        <f t="shared" ref="I4:I11" si="1">$B$2*F4-F4*F4*$D$2</f>
        <v>0.61728395061728381</v>
      </c>
      <c r="J4" s="3">
        <f t="shared" ref="J4:J11" si="2">I4/H4</f>
        <v>0.44444444444444436</v>
      </c>
    </row>
    <row r="5" spans="1:10" x14ac:dyDescent="0.3">
      <c r="A5" s="3">
        <v>8</v>
      </c>
      <c r="F5" s="3">
        <f t="shared" ref="F5:F11" si="3">$B$2/(A6+$D$2)</f>
        <v>0.29411764705882354</v>
      </c>
      <c r="G5" s="3">
        <f t="shared" ref="G5:G11" si="4">$B$2-F5*$D$2</f>
        <v>2.0588235294117645</v>
      </c>
      <c r="H5" s="3">
        <f t="shared" si="0"/>
        <v>1.4705882352941178</v>
      </c>
      <c r="I5" s="3">
        <f t="shared" si="1"/>
        <v>0.60553633217993086</v>
      </c>
      <c r="J5" s="3">
        <f t="shared" si="2"/>
        <v>0.41176470588235298</v>
      </c>
    </row>
    <row r="6" spans="1:10" x14ac:dyDescent="0.3">
      <c r="A6" s="3">
        <v>7</v>
      </c>
      <c r="F6" s="3">
        <f t="shared" si="3"/>
        <v>0.3125</v>
      </c>
      <c r="G6" s="3">
        <f t="shared" si="4"/>
        <v>1.875</v>
      </c>
      <c r="H6" s="3">
        <f t="shared" si="0"/>
        <v>1.5625</v>
      </c>
      <c r="I6" s="3">
        <f t="shared" si="1"/>
        <v>0.5859375</v>
      </c>
      <c r="J6" s="3">
        <f t="shared" si="2"/>
        <v>0.375</v>
      </c>
    </row>
    <row r="7" spans="1:10" x14ac:dyDescent="0.3">
      <c r="A7" s="3">
        <v>6</v>
      </c>
      <c r="F7" s="3">
        <f t="shared" si="3"/>
        <v>0.33333333333333331</v>
      </c>
      <c r="G7" s="3">
        <f t="shared" si="4"/>
        <v>1.666666666666667</v>
      </c>
      <c r="H7" s="3">
        <f t="shared" si="0"/>
        <v>1.6666666666666665</v>
      </c>
      <c r="I7" s="3">
        <f t="shared" si="1"/>
        <v>0.55555555555555536</v>
      </c>
      <c r="J7" s="3">
        <f t="shared" si="2"/>
        <v>0.33333333333333326</v>
      </c>
    </row>
    <row r="8" spans="1:10" x14ac:dyDescent="0.3">
      <c r="A8" s="3">
        <v>5</v>
      </c>
      <c r="F8" s="3">
        <f t="shared" si="3"/>
        <v>0.35714285714285715</v>
      </c>
      <c r="G8" s="3">
        <f t="shared" si="4"/>
        <v>1.4285714285714284</v>
      </c>
      <c r="H8" s="3">
        <f t="shared" si="0"/>
        <v>1.7857142857142858</v>
      </c>
      <c r="I8" s="3">
        <f t="shared" si="1"/>
        <v>0.51020408163265318</v>
      </c>
      <c r="J8" s="3">
        <f t="shared" si="2"/>
        <v>0.28571428571428575</v>
      </c>
    </row>
    <row r="9" spans="1:10" x14ac:dyDescent="0.3">
      <c r="A9" s="3">
        <v>4</v>
      </c>
      <c r="F9" s="3">
        <f t="shared" si="3"/>
        <v>0.38461538461538464</v>
      </c>
      <c r="G9" s="3">
        <f t="shared" si="4"/>
        <v>1.1538461538461537</v>
      </c>
      <c r="H9" s="3">
        <f t="shared" si="0"/>
        <v>1.9230769230769231</v>
      </c>
      <c r="I9" s="3">
        <f t="shared" si="1"/>
        <v>0.44378698224852076</v>
      </c>
      <c r="J9" s="3">
        <f t="shared" si="2"/>
        <v>0.23076923076923078</v>
      </c>
    </row>
    <row r="10" spans="1:10" x14ac:dyDescent="0.3">
      <c r="A10" s="3">
        <v>3</v>
      </c>
      <c r="F10" s="3">
        <f t="shared" si="3"/>
        <v>0.41666666666666669</v>
      </c>
      <c r="G10" s="3">
        <f t="shared" si="4"/>
        <v>0.83333333333333304</v>
      </c>
      <c r="H10" s="3">
        <f t="shared" si="0"/>
        <v>2.0833333333333335</v>
      </c>
      <c r="I10" s="3">
        <f t="shared" si="1"/>
        <v>0.3472222222222221</v>
      </c>
      <c r="J10" s="3">
        <f t="shared" si="2"/>
        <v>0.1666666666666666</v>
      </c>
    </row>
    <row r="11" spans="1:10" x14ac:dyDescent="0.3">
      <c r="A11" s="3">
        <v>2</v>
      </c>
      <c r="F11" s="3">
        <f t="shared" si="3"/>
        <v>0.45454545454545453</v>
      </c>
      <c r="G11" s="3">
        <f t="shared" si="4"/>
        <v>0.45454545454545503</v>
      </c>
      <c r="H11" s="3">
        <f t="shared" si="0"/>
        <v>2.2727272727272725</v>
      </c>
      <c r="I11" s="3">
        <f t="shared" si="1"/>
        <v>0.20661157024793386</v>
      </c>
      <c r="J11" s="3">
        <f t="shared" si="2"/>
        <v>9.0909090909090912E-2</v>
      </c>
    </row>
    <row r="12" spans="1:10" x14ac:dyDescent="0.3">
      <c r="A1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2022-12-21T07:02:17Z</dcterms:modified>
</cp:coreProperties>
</file>