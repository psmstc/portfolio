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psm\Desktop\"/>
    </mc:Choice>
  </mc:AlternateContent>
  <xr:revisionPtr revIDLastSave="0" documentId="13_ncr:1_{1E753CBF-3EB9-4E34-B04F-8BE446CF3494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q от t" sheetId="1" r:id="rId1"/>
    <sheet name="I от t" sheetId="2" r:id="rId2"/>
    <sheet name="U от 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4" i="3" l="1"/>
  <c r="B25" i="3"/>
  <c r="B26" i="3"/>
  <c r="B27" i="3"/>
  <c r="B22" i="2"/>
  <c r="B23" i="2"/>
  <c r="B24" i="2"/>
  <c r="B25" i="2"/>
  <c r="B27" i="1"/>
  <c r="B24" i="1"/>
  <c r="B25" i="1"/>
  <c r="B26" i="1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<sst xmlns="http://schemas.openxmlformats.org/spreadsheetml/2006/main" count="19" uniqueCount="9">
  <si>
    <t>Qo</t>
  </si>
  <si>
    <t>Wo</t>
  </si>
  <si>
    <t>C</t>
  </si>
  <si>
    <t>a</t>
  </si>
  <si>
    <t>Ɛ</t>
  </si>
  <si>
    <t>t</t>
  </si>
  <si>
    <t>q(t)</t>
  </si>
  <si>
    <t>I(t)</t>
  </si>
  <si>
    <t>U(t)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</si>
</sst>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rgb="FFE4DFE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</a:t>
            </a:r>
            <a:r>
              <a:rPr lang="en-US" baseline="0"/>
              <a:t>q </a:t>
            </a:r>
            <a:r>
              <a:rPr lang="ru-RU" baseline="0"/>
              <a:t>от </a:t>
            </a:r>
            <a:r>
              <a:rPr lang="en-US" baseline="0"/>
              <a:t>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rgbClr val="C00000"/>
              </a:solidFill>
              <a:round/>
              <a:tailEnd type="arrow"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'q от t'!$A$8:$A$27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'q от t'!$B$8:$B$27</c:f>
              <c:numCache>
                <c:formatCode>General</c:formatCode>
                <c:ptCount val="20"/>
                <c:pt idx="0">
                  <c:v>-6</c:v>
                </c:pt>
                <c:pt idx="1">
                  <c:v>-42.477962900030143</c:v>
                </c:pt>
                <c:pt idx="2">
                  <c:v>-77.9873084147886</c:v>
                </c:pt>
                <c:pt idx="3">
                  <c:v>-40.566448305846997</c:v>
                </c:pt>
                <c:pt idx="4">
                  <c:v>-6.0507573921603139</c:v>
                </c:pt>
                <c:pt idx="5">
                  <c:v>-44.388129708082452</c:v>
                </c:pt>
                <c:pt idx="6">
                  <c:v>-77.885829418899505</c:v>
                </c:pt>
                <c:pt idx="7">
                  <c:v>-38.658976119748424</c:v>
                </c:pt>
                <c:pt idx="8">
                  <c:v>-6.2028864401491077</c:v>
                </c:pt>
                <c:pt idx="9">
                  <c:v>-46.291562336350168</c:v>
                </c:pt>
                <c:pt idx="10">
                  <c:v>-77.683157583187437</c:v>
                </c:pt>
                <c:pt idx="11">
                  <c:v>-36.760925136944678</c:v>
                </c:pt>
                <c:pt idx="12">
                  <c:v>-6.4559581620914983</c:v>
                </c:pt>
                <c:pt idx="13">
                  <c:v>-48.182893380590841</c:v>
                </c:pt>
                <c:pt idx="14">
                  <c:v>-77.379864412866041</c:v>
                </c:pt>
                <c:pt idx="15">
                  <c:v>-34.877647586217677</c:v>
                </c:pt>
                <c:pt idx="16">
                  <c:v>-6.8092589323966308</c:v>
                </c:pt>
                <c:pt idx="17">
                  <c:v>-50.056789561275743</c:v>
                </c:pt>
                <c:pt idx="18">
                  <c:v>-76.976805150734492</c:v>
                </c:pt>
                <c:pt idx="19">
                  <c:v>-33.014454037411248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58-47D3-AD08-CF46928A8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270255"/>
        <c:axId val="1712177551"/>
      </c:scatterChart>
      <c:valAx>
        <c:axId val="17682702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2177551"/>
        <c:crosses val="autoZero"/>
        <c:crossBetween val="midCat"/>
      </c:valAx>
      <c:valAx>
        <c:axId val="1712177551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8270255"/>
        <c:crosses val="autoZero"/>
        <c:crossBetween val="midCat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accent1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</a:t>
            </a:r>
            <a:r>
              <a:rPr lang="en-US"/>
              <a:t>I </a:t>
            </a:r>
            <a:r>
              <a:rPr lang="ru-RU"/>
              <a:t>от</a:t>
            </a:r>
            <a:r>
              <a:rPr lang="en-US"/>
              <a:t> t</a:t>
            </a:r>
            <a:r>
              <a:rPr lang="ru-R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'I от t'!$A$6:$A$25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'I от t'!$B$6:$B$25</c:f>
              <c:numCache>
                <c:formatCode>General</c:formatCode>
                <c:ptCount val="20"/>
                <c:pt idx="0">
                  <c:v>0</c:v>
                </c:pt>
                <c:pt idx="1">
                  <c:v>-1187.8952898074333</c:v>
                </c:pt>
                <c:pt idx="2">
                  <c:v>31.54277098047255</c:v>
                </c:pt>
                <c:pt idx="3">
                  <c:v>1187.0577190133881</c:v>
                </c:pt>
                <c:pt idx="4">
                  <c:v>-63.06330152951719</c:v>
                </c:pt>
                <c:pt idx="5">
                  <c:v>-1185.3831679864702</c:v>
                </c:pt>
                <c:pt idx="6">
                  <c:v>94.539366897168819</c:v>
                </c:pt>
                <c:pt idx="7">
                  <c:v>1182.8728174326266</c:v>
                </c:pt>
                <c:pt idx="8">
                  <c:v>-125.94877368533116</c:v>
                </c:pt>
                <c:pt idx="9">
                  <c:v>-1179.5284373700777</c:v>
                </c:pt>
                <c:pt idx="10">
                  <c:v>157.26937549607689</c:v>
                </c:pt>
                <c:pt idx="11">
                  <c:v>1175.352385881298</c:v>
                </c:pt>
                <c:pt idx="12">
                  <c:v>-188.47908854680858</c:v>
                </c:pt>
                <c:pt idx="13">
                  <c:v>-1170.3476074503608</c:v>
                </c:pt>
                <c:pt idx="14">
                  <c:v>219.55590724127035</c:v>
                </c:pt>
                <c:pt idx="15">
                  <c:v>1164.517630886817</c:v>
                </c:pt>
                <c:pt idx="16">
                  <c:v>-250.47791968543106</c:v>
                </c:pt>
                <c:pt idx="17">
                  <c:v>-1157.8665668375747</c:v>
                </c:pt>
                <c:pt idx="18">
                  <c:v>281.22332313729942</c:v>
                </c:pt>
                <c:pt idx="19">
                  <c:v>1150.3991048885291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F2-471D-A557-77A887C03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532111"/>
        <c:axId val="1775344975"/>
      </c:scatterChart>
      <c:valAx>
        <c:axId val="176753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5344975"/>
        <c:crosses val="autoZero"/>
        <c:crossBetween val="midCat"/>
      </c:valAx>
      <c:valAx>
        <c:axId val="177534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7532111"/>
        <c:crosses val="autoZero"/>
        <c:crossBetween val="midCat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</a:t>
            </a:r>
            <a:r>
              <a:rPr lang="en-US"/>
              <a:t>U</a:t>
            </a:r>
            <a:r>
              <a:rPr lang="ru-RU"/>
              <a:t> от</a:t>
            </a:r>
            <a:r>
              <a:rPr lang="en-US"/>
              <a:t> 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'U от t'!$A$8:$A$27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'U от t'!$B$8:$B$27</c:f>
              <c:numCache>
                <c:formatCode>General</c:formatCode>
                <c:ptCount val="20"/>
                <c:pt idx="0">
                  <c:v>1</c:v>
                </c:pt>
                <c:pt idx="1">
                  <c:v>7.0796604833383574</c:v>
                </c:pt>
                <c:pt idx="2">
                  <c:v>12.997884735798101</c:v>
                </c:pt>
                <c:pt idx="3">
                  <c:v>6.7610747176411659</c:v>
                </c:pt>
                <c:pt idx="4">
                  <c:v>1.0084595653600523</c:v>
                </c:pt>
                <c:pt idx="5">
                  <c:v>7.3980216180137424</c:v>
                </c:pt>
                <c:pt idx="6">
                  <c:v>12.980971569816584</c:v>
                </c:pt>
                <c:pt idx="7">
                  <c:v>6.4431626866247376</c:v>
                </c:pt>
                <c:pt idx="8">
                  <c:v>1.033814406691518</c:v>
                </c:pt>
                <c:pt idx="9">
                  <c:v>7.7152603893916947</c:v>
                </c:pt>
                <c:pt idx="10">
                  <c:v>12.947192930531239</c:v>
                </c:pt>
                <c:pt idx="11">
                  <c:v>6.1268208561574466</c:v>
                </c:pt>
                <c:pt idx="12">
                  <c:v>1.0759930270152498</c:v>
                </c:pt>
                <c:pt idx="13">
                  <c:v>8.0304822300984728</c:v>
                </c:pt>
                <c:pt idx="14">
                  <c:v>12.896644068811007</c:v>
                </c:pt>
                <c:pt idx="15">
                  <c:v>5.8129412643696128</c:v>
                </c:pt>
                <c:pt idx="16">
                  <c:v>1.1348764887327718</c:v>
                </c:pt>
                <c:pt idx="17">
                  <c:v>8.3427982602126232</c:v>
                </c:pt>
                <c:pt idx="18">
                  <c:v>12.829467525122416</c:v>
                </c:pt>
                <c:pt idx="19">
                  <c:v>5.502409006235208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F5-439C-B1DD-62A967CDC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363327"/>
        <c:axId val="1775363695"/>
      </c:scatterChart>
      <c:valAx>
        <c:axId val="198036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5363695"/>
        <c:crosses val="autoZero"/>
        <c:crossBetween val="midCat"/>
      </c:valAx>
      <c:valAx>
        <c:axId val="177536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0363327"/>
        <c:crosses val="autoZero"/>
        <c:crossBetween val="midCat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3</xdr:row>
      <xdr:rowOff>110490</xdr:rowOff>
    </xdr:from>
    <xdr:to>
      <xdr:col>10</xdr:col>
      <xdr:colOff>457200</xdr:colOff>
      <xdr:row>23</xdr:row>
      <xdr:rowOff>45720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497D8B4-1A29-45C0-BCF3-D54024C51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815340</xdr:colOff>
      <xdr:row>2</xdr:row>
      <xdr:rowOff>114300</xdr:rowOff>
    </xdr:from>
    <xdr:to>
      <xdr:col>9</xdr:col>
      <xdr:colOff>541020</xdr:colOff>
      <xdr:row>21</xdr:row>
      <xdr:rowOff>99060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26C534-ECB0-4779-AEB8-BE0BE6C76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822960</xdr:colOff>
      <xdr:row>4</xdr:row>
      <xdr:rowOff>175260</xdr:rowOff>
    </xdr:from>
    <xdr:to>
      <xdr:col>9</xdr:col>
      <xdr:colOff>609600</xdr:colOff>
      <xdr:row>22</xdr:row>
      <xdr:rowOff>129540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5F91BB5-5669-4503-82F7-74712B10D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7"/>
  <sheetViews>
    <sheetView tabSelected="1" workbookViewId="0">
      <selection activeCell="A8" sqref="A8:B27"/>
    </sheetView>
  </sheetViews>
  <sheetFormatPr defaultColWidth="12.6640625" defaultRowHeight="15.75" customHeight="1" x14ac:dyDescent="0.25"/>
  <sheetData>
    <row r="1" spans="1:2" x14ac:dyDescent="0.3">
      <c r="A1" s="5" t="s">
        <v>0</v>
      </c>
      <c r="B1" s="1">
        <v>36</v>
      </c>
    </row>
    <row r="2" spans="1:2" x14ac:dyDescent="0.3">
      <c r="A2" s="6" t="s">
        <v>1</v>
      </c>
      <c r="B2" s="2">
        <v>33</v>
      </c>
    </row>
    <row r="3" spans="1:2" x14ac:dyDescent="0.3">
      <c r="A3" s="6" t="s">
        <v>2</v>
      </c>
      <c r="B3" s="2">
        <v>-6</v>
      </c>
    </row>
    <row r="4" spans="1:2" x14ac:dyDescent="0.3">
      <c r="A4" s="6" t="s">
        <v>3</v>
      </c>
      <c r="B4" s="2">
        <v>0</v>
      </c>
    </row>
    <row r="5" spans="1:2" x14ac:dyDescent="0.3">
      <c r="A5" s="6" t="s">
        <v>4</v>
      </c>
      <c r="B5" s="2">
        <v>7</v>
      </c>
    </row>
    <row r="7" spans="1:2" x14ac:dyDescent="0.3">
      <c r="A7" s="5" t="s">
        <v>5</v>
      </c>
      <c r="B7" s="7" t="s">
        <v>6</v>
      </c>
    </row>
    <row r="8" spans="1:2" ht="15.75" customHeight="1" x14ac:dyDescent="0.25">
      <c r="A8" s="3">
        <v>0</v>
      </c>
      <c r="B8" s="4">
        <f t="shared" ref="B8:B23" si="0">$B$1*COS($B$2*A8+$B$4)+$B$3*$B$5</f>
        <v>-6</v>
      </c>
    </row>
    <row r="9" spans="1:2" ht="15.75" customHeight="1" x14ac:dyDescent="0.25">
      <c r="A9" s="3">
        <v>1</v>
      </c>
      <c r="B9" s="4">
        <f t="shared" si="0"/>
        <v>-42.477962900030143</v>
      </c>
    </row>
    <row r="10" spans="1:2" ht="15.75" customHeight="1" x14ac:dyDescent="0.25">
      <c r="A10" s="3">
        <v>2</v>
      </c>
      <c r="B10" s="4">
        <f t="shared" si="0"/>
        <v>-77.9873084147886</v>
      </c>
    </row>
    <row r="11" spans="1:2" ht="15.75" customHeight="1" x14ac:dyDescent="0.25">
      <c r="A11" s="3">
        <v>3</v>
      </c>
      <c r="B11" s="4">
        <f t="shared" si="0"/>
        <v>-40.566448305846997</v>
      </c>
    </row>
    <row r="12" spans="1:2" ht="15.75" customHeight="1" x14ac:dyDescent="0.25">
      <c r="A12" s="3">
        <v>4</v>
      </c>
      <c r="B12" s="4">
        <f t="shared" si="0"/>
        <v>-6.0507573921603139</v>
      </c>
    </row>
    <row r="13" spans="1:2" ht="15.75" customHeight="1" x14ac:dyDescent="0.25">
      <c r="A13" s="3">
        <v>5</v>
      </c>
      <c r="B13" s="4">
        <f t="shared" si="0"/>
        <v>-44.388129708082452</v>
      </c>
    </row>
    <row r="14" spans="1:2" ht="15.75" customHeight="1" x14ac:dyDescent="0.25">
      <c r="A14" s="3">
        <v>6</v>
      </c>
      <c r="B14" s="4">
        <f t="shared" si="0"/>
        <v>-77.885829418899505</v>
      </c>
    </row>
    <row r="15" spans="1:2" ht="15.75" customHeight="1" x14ac:dyDescent="0.25">
      <c r="A15" s="3">
        <v>7</v>
      </c>
      <c r="B15" s="4">
        <f t="shared" si="0"/>
        <v>-38.658976119748424</v>
      </c>
    </row>
    <row r="16" spans="1:2" ht="15.75" customHeight="1" x14ac:dyDescent="0.25">
      <c r="A16" s="3">
        <v>8</v>
      </c>
      <c r="B16" s="4">
        <f t="shared" si="0"/>
        <v>-6.2028864401491077</v>
      </c>
    </row>
    <row r="17" spans="1:2" ht="15.75" customHeight="1" x14ac:dyDescent="0.25">
      <c r="A17" s="3">
        <v>9</v>
      </c>
      <c r="B17" s="4">
        <f t="shared" si="0"/>
        <v>-46.291562336350168</v>
      </c>
    </row>
    <row r="18" spans="1:2" ht="15.75" customHeight="1" x14ac:dyDescent="0.25">
      <c r="A18" s="3">
        <v>10</v>
      </c>
      <c r="B18" s="4">
        <f t="shared" si="0"/>
        <v>-77.683157583187437</v>
      </c>
    </row>
    <row r="19" spans="1:2" ht="15.75" customHeight="1" x14ac:dyDescent="0.25">
      <c r="A19" s="3">
        <v>11</v>
      </c>
      <c r="B19" s="4">
        <f t="shared" si="0"/>
        <v>-36.760925136944678</v>
      </c>
    </row>
    <row r="20" spans="1:2" ht="15.75" customHeight="1" x14ac:dyDescent="0.25">
      <c r="A20" s="3">
        <v>12</v>
      </c>
      <c r="B20" s="4">
        <f t="shared" si="0"/>
        <v>-6.4559581620914983</v>
      </c>
    </row>
    <row r="21" spans="1:2" ht="15.75" customHeight="1" x14ac:dyDescent="0.25">
      <c r="A21" s="3">
        <v>13</v>
      </c>
      <c r="B21" s="4">
        <f t="shared" si="0"/>
        <v>-48.182893380590841</v>
      </c>
    </row>
    <row r="22" spans="1:2" ht="15.75" customHeight="1" x14ac:dyDescent="0.25">
      <c r="A22" s="3">
        <v>14</v>
      </c>
      <c r="B22" s="4">
        <f t="shared" si="0"/>
        <v>-77.379864412866041</v>
      </c>
    </row>
    <row r="23" spans="1:2" ht="15.75" customHeight="1" x14ac:dyDescent="0.25">
      <c r="A23" s="3">
        <v>15</v>
      </c>
      <c r="B23" s="4">
        <f t="shared" si="0"/>
        <v>-34.877647586217677</v>
      </c>
    </row>
    <row r="24" spans="1:2" ht="15.75" customHeight="1" x14ac:dyDescent="0.25">
      <c r="A24" s="3">
        <v>16</v>
      </c>
      <c r="B24" s="4">
        <f t="shared" ref="B24:B27" si="1">$B$1*COS($B$2*A24+$B$4)+$B$3*$B$5</f>
        <v>-6.8092589323966308</v>
      </c>
    </row>
    <row r="25" spans="1:2" ht="15.75" customHeight="1" x14ac:dyDescent="0.25">
      <c r="A25" s="3">
        <v>17</v>
      </c>
      <c r="B25" s="4">
        <f t="shared" si="1"/>
        <v>-50.056789561275743</v>
      </c>
    </row>
    <row r="26" spans="1:2" ht="15.75" customHeight="1" x14ac:dyDescent="0.25">
      <c r="A26" s="3">
        <v>18</v>
      </c>
      <c r="B26" s="4">
        <f t="shared" si="1"/>
        <v>-76.976805150734492</v>
      </c>
    </row>
    <row r="27" spans="1:2" ht="15.75" customHeight="1" x14ac:dyDescent="0.25">
      <c r="A27" s="3">
        <v>19</v>
      </c>
      <c r="B27" s="4">
        <f t="shared" si="1"/>
        <v>-33.014454037411248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5"/>
  <sheetViews>
    <sheetView workbookViewId="0">
      <selection activeCell="K17" sqref="K17"/>
    </sheetView>
  </sheetViews>
  <sheetFormatPr defaultColWidth="12.6640625" defaultRowHeight="15.75" customHeight="1" x14ac:dyDescent="0.25"/>
  <sheetData>
    <row r="1" spans="1:2" x14ac:dyDescent="0.3">
      <c r="A1" s="5" t="s">
        <v>0</v>
      </c>
      <c r="B1" s="1">
        <v>36</v>
      </c>
    </row>
    <row r="2" spans="1:2" x14ac:dyDescent="0.3">
      <c r="A2" s="6" t="s">
        <v>1</v>
      </c>
      <c r="B2" s="2">
        <v>33</v>
      </c>
    </row>
    <row r="3" spans="1:2" x14ac:dyDescent="0.3">
      <c r="A3" s="6" t="s">
        <v>3</v>
      </c>
      <c r="B3" s="2">
        <v>0</v>
      </c>
    </row>
    <row r="5" spans="1:2" x14ac:dyDescent="0.3">
      <c r="A5" s="5" t="s">
        <v>5</v>
      </c>
      <c r="B5" s="7" t="s">
        <v>7</v>
      </c>
    </row>
    <row r="6" spans="1:2" ht="15.75" customHeight="1" x14ac:dyDescent="0.25">
      <c r="A6" s="3">
        <v>0</v>
      </c>
      <c r="B6" s="4">
        <f t="shared" ref="B6:B21" si="0">-$B$1*$B$2*SIN($B$2*A6+$B$3)</f>
        <v>0</v>
      </c>
    </row>
    <row r="7" spans="1:2" ht="15.75" customHeight="1" x14ac:dyDescent="0.25">
      <c r="A7" s="3">
        <v>1</v>
      </c>
      <c r="B7" s="4">
        <f t="shared" si="0"/>
        <v>-1187.8952898074333</v>
      </c>
    </row>
    <row r="8" spans="1:2" ht="15.75" customHeight="1" x14ac:dyDescent="0.25">
      <c r="A8" s="3">
        <v>2</v>
      </c>
      <c r="B8" s="4">
        <f t="shared" si="0"/>
        <v>31.54277098047255</v>
      </c>
    </row>
    <row r="9" spans="1:2" ht="15.75" customHeight="1" x14ac:dyDescent="0.25">
      <c r="A9" s="3">
        <v>3</v>
      </c>
      <c r="B9" s="4">
        <f t="shared" si="0"/>
        <v>1187.0577190133881</v>
      </c>
    </row>
    <row r="10" spans="1:2" ht="15.75" customHeight="1" x14ac:dyDescent="0.25">
      <c r="A10" s="3">
        <v>4</v>
      </c>
      <c r="B10" s="4">
        <f t="shared" si="0"/>
        <v>-63.06330152951719</v>
      </c>
    </row>
    <row r="11" spans="1:2" ht="15.75" customHeight="1" x14ac:dyDescent="0.25">
      <c r="A11" s="3">
        <v>5</v>
      </c>
      <c r="B11" s="4">
        <f t="shared" si="0"/>
        <v>-1185.3831679864702</v>
      </c>
    </row>
    <row r="12" spans="1:2" ht="15.75" customHeight="1" x14ac:dyDescent="0.25">
      <c r="A12" s="3">
        <v>6</v>
      </c>
      <c r="B12" s="4">
        <f t="shared" si="0"/>
        <v>94.539366897168819</v>
      </c>
    </row>
    <row r="13" spans="1:2" ht="15.75" customHeight="1" x14ac:dyDescent="0.25">
      <c r="A13" s="3">
        <v>7</v>
      </c>
      <c r="B13" s="4">
        <f t="shared" si="0"/>
        <v>1182.8728174326266</v>
      </c>
    </row>
    <row r="14" spans="1:2" ht="15.75" customHeight="1" x14ac:dyDescent="0.25">
      <c r="A14" s="3">
        <v>8</v>
      </c>
      <c r="B14" s="4">
        <f t="shared" si="0"/>
        <v>-125.94877368533116</v>
      </c>
    </row>
    <row r="15" spans="1:2" ht="15.75" customHeight="1" x14ac:dyDescent="0.25">
      <c r="A15" s="3">
        <v>9</v>
      </c>
      <c r="B15" s="4">
        <f t="shared" si="0"/>
        <v>-1179.5284373700777</v>
      </c>
    </row>
    <row r="16" spans="1:2" ht="15.75" customHeight="1" x14ac:dyDescent="0.25">
      <c r="A16" s="3">
        <v>10</v>
      </c>
      <c r="B16" s="4">
        <f t="shared" si="0"/>
        <v>157.26937549607689</v>
      </c>
    </row>
    <row r="17" spans="1:2" ht="15.75" customHeight="1" x14ac:dyDescent="0.25">
      <c r="A17" s="3">
        <v>11</v>
      </c>
      <c r="B17" s="4">
        <f t="shared" si="0"/>
        <v>1175.352385881298</v>
      </c>
    </row>
    <row r="18" spans="1:2" ht="15.75" customHeight="1" x14ac:dyDescent="0.25">
      <c r="A18" s="3">
        <v>12</v>
      </c>
      <c r="B18" s="4">
        <f t="shared" si="0"/>
        <v>-188.47908854680858</v>
      </c>
    </row>
    <row r="19" spans="1:2" ht="15.75" customHeight="1" x14ac:dyDescent="0.25">
      <c r="A19" s="3">
        <v>13</v>
      </c>
      <c r="B19" s="4">
        <f t="shared" si="0"/>
        <v>-1170.3476074503608</v>
      </c>
    </row>
    <row r="20" spans="1:2" ht="15.75" customHeight="1" x14ac:dyDescent="0.25">
      <c r="A20" s="3">
        <v>14</v>
      </c>
      <c r="B20" s="4">
        <f t="shared" si="0"/>
        <v>219.55590724127035</v>
      </c>
    </row>
    <row r="21" spans="1:2" ht="15.75" customHeight="1" x14ac:dyDescent="0.25">
      <c r="A21" s="3">
        <v>15</v>
      </c>
      <c r="B21" s="4">
        <f t="shared" si="0"/>
        <v>1164.517630886817</v>
      </c>
    </row>
    <row r="22" spans="1:2" ht="15.75" customHeight="1" x14ac:dyDescent="0.25">
      <c r="A22" s="3">
        <v>16</v>
      </c>
      <c r="B22" s="4">
        <f t="shared" ref="B22:B25" si="1">-$B$1*$B$2*SIN($B$2*A22+$B$3)</f>
        <v>-250.47791968543106</v>
      </c>
    </row>
    <row r="23" spans="1:2" ht="15.75" customHeight="1" x14ac:dyDescent="0.25">
      <c r="A23" s="3">
        <v>17</v>
      </c>
      <c r="B23" s="4">
        <f t="shared" si="1"/>
        <v>-1157.8665668375747</v>
      </c>
    </row>
    <row r="24" spans="1:2" ht="15.75" customHeight="1" x14ac:dyDescent="0.25">
      <c r="A24" s="3">
        <v>18</v>
      </c>
      <c r="B24" s="4">
        <f t="shared" si="1"/>
        <v>281.22332313729942</v>
      </c>
    </row>
    <row r="25" spans="1:2" ht="15.75" customHeight="1" x14ac:dyDescent="0.25">
      <c r="A25" s="3">
        <v>19</v>
      </c>
      <c r="B25" s="4">
        <f t="shared" si="1"/>
        <v>1150.3991048885291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7"/>
  <sheetViews>
    <sheetView workbookViewId="0">
      <selection activeCell="K18" sqref="K18"/>
    </sheetView>
  </sheetViews>
  <sheetFormatPr defaultColWidth="12.6640625" defaultRowHeight="15.75" customHeight="1" x14ac:dyDescent="0.25"/>
  <sheetData>
    <row r="1" spans="1:2" x14ac:dyDescent="0.3">
      <c r="A1" s="5" t="s">
        <v>0</v>
      </c>
      <c r="B1" s="1">
        <v>36</v>
      </c>
    </row>
    <row r="2" spans="1:2" x14ac:dyDescent="0.3">
      <c r="A2" s="6" t="s">
        <v>1</v>
      </c>
      <c r="B2" s="2">
        <v>33</v>
      </c>
    </row>
    <row r="3" spans="1:2" x14ac:dyDescent="0.3">
      <c r="A3" s="6" t="s">
        <v>2</v>
      </c>
      <c r="B3" s="2">
        <v>-6</v>
      </c>
    </row>
    <row r="4" spans="1:2" x14ac:dyDescent="0.3">
      <c r="A4" s="6" t="s">
        <v>3</v>
      </c>
      <c r="B4" s="2">
        <v>0</v>
      </c>
    </row>
    <row r="5" spans="1:2" x14ac:dyDescent="0.3">
      <c r="A5" s="6" t="s">
        <v>4</v>
      </c>
      <c r="B5" s="2">
        <v>7</v>
      </c>
    </row>
    <row r="7" spans="1:2" x14ac:dyDescent="0.3">
      <c r="A7" s="5" t="s">
        <v>5</v>
      </c>
      <c r="B7" s="7" t="s">
        <v>8</v>
      </c>
    </row>
    <row r="8" spans="1:2" ht="15.75" customHeight="1" x14ac:dyDescent="0.25">
      <c r="A8" s="3">
        <v>0</v>
      </c>
      <c r="B8" s="4">
        <f t="shared" ref="B8:B23" si="0">($B$1*COS($B$2*A8+$B$4)+$B$3*$B$5)/$B$3</f>
        <v>1</v>
      </c>
    </row>
    <row r="9" spans="1:2" ht="15.75" customHeight="1" x14ac:dyDescent="0.25">
      <c r="A9" s="3">
        <v>1</v>
      </c>
      <c r="B9" s="4">
        <f t="shared" si="0"/>
        <v>7.0796604833383574</v>
      </c>
    </row>
    <row r="10" spans="1:2" ht="15.75" customHeight="1" x14ac:dyDescent="0.25">
      <c r="A10" s="3">
        <v>2</v>
      </c>
      <c r="B10" s="4">
        <f t="shared" si="0"/>
        <v>12.997884735798101</v>
      </c>
    </row>
    <row r="11" spans="1:2" ht="15.75" customHeight="1" x14ac:dyDescent="0.25">
      <c r="A11" s="3">
        <v>3</v>
      </c>
      <c r="B11" s="4">
        <f t="shared" si="0"/>
        <v>6.7610747176411659</v>
      </c>
    </row>
    <row r="12" spans="1:2" ht="15.75" customHeight="1" x14ac:dyDescent="0.25">
      <c r="A12" s="3">
        <v>4</v>
      </c>
      <c r="B12" s="4">
        <f t="shared" si="0"/>
        <v>1.0084595653600523</v>
      </c>
    </row>
    <row r="13" spans="1:2" ht="15.75" customHeight="1" x14ac:dyDescent="0.25">
      <c r="A13" s="3">
        <v>5</v>
      </c>
      <c r="B13" s="4">
        <f t="shared" si="0"/>
        <v>7.3980216180137424</v>
      </c>
    </row>
    <row r="14" spans="1:2" ht="15.75" customHeight="1" x14ac:dyDescent="0.25">
      <c r="A14" s="3">
        <v>6</v>
      </c>
      <c r="B14" s="4">
        <f t="shared" si="0"/>
        <v>12.980971569816584</v>
      </c>
    </row>
    <row r="15" spans="1:2" ht="15.75" customHeight="1" x14ac:dyDescent="0.25">
      <c r="A15" s="3">
        <v>7</v>
      </c>
      <c r="B15" s="4">
        <f t="shared" si="0"/>
        <v>6.4431626866247376</v>
      </c>
    </row>
    <row r="16" spans="1:2" ht="15.75" customHeight="1" x14ac:dyDescent="0.25">
      <c r="A16" s="3">
        <v>8</v>
      </c>
      <c r="B16" s="4">
        <f t="shared" si="0"/>
        <v>1.033814406691518</v>
      </c>
    </row>
    <row r="17" spans="1:2" ht="15.75" customHeight="1" x14ac:dyDescent="0.25">
      <c r="A17" s="3">
        <v>9</v>
      </c>
      <c r="B17" s="4">
        <f t="shared" si="0"/>
        <v>7.7152603893916947</v>
      </c>
    </row>
    <row r="18" spans="1:2" ht="15.75" customHeight="1" x14ac:dyDescent="0.25">
      <c r="A18" s="3">
        <v>10</v>
      </c>
      <c r="B18" s="4">
        <f t="shared" si="0"/>
        <v>12.947192930531239</v>
      </c>
    </row>
    <row r="19" spans="1:2" ht="15.75" customHeight="1" x14ac:dyDescent="0.25">
      <c r="A19" s="3">
        <v>11</v>
      </c>
      <c r="B19" s="4">
        <f t="shared" si="0"/>
        <v>6.1268208561574466</v>
      </c>
    </row>
    <row r="20" spans="1:2" ht="15.75" customHeight="1" x14ac:dyDescent="0.25">
      <c r="A20" s="3">
        <v>12</v>
      </c>
      <c r="B20" s="4">
        <f t="shared" si="0"/>
        <v>1.0759930270152498</v>
      </c>
    </row>
    <row r="21" spans="1:2" ht="15.75" customHeight="1" x14ac:dyDescent="0.25">
      <c r="A21" s="3">
        <v>13</v>
      </c>
      <c r="B21" s="4">
        <f t="shared" si="0"/>
        <v>8.0304822300984728</v>
      </c>
    </row>
    <row r="22" spans="1:2" ht="15.75" customHeight="1" x14ac:dyDescent="0.25">
      <c r="A22" s="3">
        <v>14</v>
      </c>
      <c r="B22" s="4">
        <f t="shared" si="0"/>
        <v>12.896644068811007</v>
      </c>
    </row>
    <row r="23" spans="1:2" ht="15.75" customHeight="1" x14ac:dyDescent="0.25">
      <c r="A23" s="3">
        <v>15</v>
      </c>
      <c r="B23" s="4">
        <f t="shared" si="0"/>
        <v>5.8129412643696128</v>
      </c>
    </row>
    <row r="24" spans="1:2" ht="15.75" customHeight="1" x14ac:dyDescent="0.25">
      <c r="A24" s="3">
        <v>16</v>
      </c>
      <c r="B24" s="4">
        <f t="shared" ref="B24:B27" si="1">($B$1*COS($B$2*A24+$B$4)+$B$3*$B$5)/$B$3</f>
        <v>1.1348764887327718</v>
      </c>
    </row>
    <row r="25" spans="1:2" ht="15.75" customHeight="1" x14ac:dyDescent="0.25">
      <c r="A25" s="3">
        <v>17</v>
      </c>
      <c r="B25" s="4">
        <f t="shared" si="1"/>
        <v>8.3427982602126232</v>
      </c>
    </row>
    <row r="26" spans="1:2" ht="15.75" customHeight="1" x14ac:dyDescent="0.25">
      <c r="A26" s="3">
        <v>18</v>
      </c>
      <c r="B26" s="4">
        <f t="shared" si="1"/>
        <v>12.829467525122416</v>
      </c>
    </row>
    <row r="27" spans="1:2" ht="15.75" customHeight="1" x14ac:dyDescent="0.25">
      <c r="A27" s="3">
        <v>19</v>
      </c>
      <c r="B27" s="4">
        <f t="shared" si="1"/>
        <v>5.502409006235208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q от t</vt:lpstr>
      <vt:lpstr>I от t</vt:lpstr>
      <vt:lpstr>U от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psm</cp:lastModifiedBy>
  <dcterms:modified xsi:type="dcterms:W3CDTF">2022-11-29T22:14:51Z</dcterms:modified>
</cp:coreProperties>
</file>