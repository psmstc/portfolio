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6D235C4E-E67B-44FB-9F8C-19A6D8CA428D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C80" i="1" l="1"/>
  <c r="C81" i="1"/>
  <c r="B81" i="1" l="1"/>
  <c r="B80" i="1"/>
  <c r="C79" i="1"/>
  <c r="B79" i="1"/>
  <c r="C78" i="1"/>
  <c r="B78" i="1"/>
  <c r="E3" i="1" s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B9" i="1"/>
  <c r="B8" i="1"/>
  <c r="E4" i="1"/>
  <c r="E1" i="1" l="1"/>
</calcChain>
</file>

<file path=xl/sharedStrings.xml><?xml version="1.0" encoding="utf-8"?>
<sst xmlns="http://schemas.openxmlformats.org/spreadsheetml/2006/main" count="11" uniqueCount="11">
  <si>
    <t>ср.скорость снаряда</t>
  </si>
  <si>
    <t>Максимальная высота</t>
  </si>
  <si>
    <t>угол</t>
  </si>
  <si>
    <t>Время максимальной высоты</t>
  </si>
  <si>
    <t>высота</t>
  </si>
  <si>
    <t>Дальность полёта</t>
  </si>
  <si>
    <t>g</t>
  </si>
  <si>
    <t>Продолжительность полёта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</si>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</sst>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538ED5"/>
        <bgColor rgb="FF538ED5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Fill="1" applyAlignme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Траектория</a:t>
            </a:r>
            <a:r>
              <a:rPr lang="ru-RU" baseline="0"/>
              <a:t> полета 60 градусов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Лист1!$B$8:$B$79</c:f>
              <c:numCache>
                <c:formatCode>General</c:formatCode>
                <c:ptCount val="72"/>
                <c:pt idx="0">
                  <c:v>0</c:v>
                </c:pt>
                <c:pt idx="1">
                  <c:v>70.710678118654755</c:v>
                </c:pt>
                <c:pt idx="2">
                  <c:v>141.42135623730951</c:v>
                </c:pt>
                <c:pt idx="3">
                  <c:v>212.13203435596427</c:v>
                </c:pt>
                <c:pt idx="4">
                  <c:v>282.84271247461902</c:v>
                </c:pt>
                <c:pt idx="5">
                  <c:v>353.55339059327378</c:v>
                </c:pt>
                <c:pt idx="6">
                  <c:v>424.26406871192853</c:v>
                </c:pt>
                <c:pt idx="7">
                  <c:v>494.97474683058329</c:v>
                </c:pt>
                <c:pt idx="8">
                  <c:v>565.68542494923804</c:v>
                </c:pt>
                <c:pt idx="9">
                  <c:v>636.3961030678928</c:v>
                </c:pt>
                <c:pt idx="10">
                  <c:v>707.10678118654755</c:v>
                </c:pt>
                <c:pt idx="11">
                  <c:v>777.81745930520231</c:v>
                </c:pt>
                <c:pt idx="12">
                  <c:v>848.52813742385706</c:v>
                </c:pt>
                <c:pt idx="13">
                  <c:v>919.23881554251182</c:v>
                </c:pt>
                <c:pt idx="14">
                  <c:v>989.94949366116657</c:v>
                </c:pt>
                <c:pt idx="15">
                  <c:v>1060.6601717798214</c:v>
                </c:pt>
                <c:pt idx="16">
                  <c:v>1131.3708498984761</c:v>
                </c:pt>
                <c:pt idx="17">
                  <c:v>1202.0815280171309</c:v>
                </c:pt>
                <c:pt idx="18">
                  <c:v>1272.7922061357856</c:v>
                </c:pt>
                <c:pt idx="19">
                  <c:v>1343.5028842544402</c:v>
                </c:pt>
                <c:pt idx="20">
                  <c:v>1414.2135623730951</c:v>
                </c:pt>
                <c:pt idx="21">
                  <c:v>1484.92424049175</c:v>
                </c:pt>
                <c:pt idx="22">
                  <c:v>1555.6349186104046</c:v>
                </c:pt>
                <c:pt idx="23">
                  <c:v>1626.3455967290593</c:v>
                </c:pt>
                <c:pt idx="24">
                  <c:v>1697.0562748477141</c:v>
                </c:pt>
                <c:pt idx="25">
                  <c:v>1767.766952966369</c:v>
                </c:pt>
                <c:pt idx="26">
                  <c:v>1838.4776310850236</c:v>
                </c:pt>
                <c:pt idx="27">
                  <c:v>1909.1883092036783</c:v>
                </c:pt>
                <c:pt idx="28">
                  <c:v>1979.8989873223331</c:v>
                </c:pt>
                <c:pt idx="29">
                  <c:v>2050.609665440988</c:v>
                </c:pt>
                <c:pt idx="30">
                  <c:v>2121.3203435596424</c:v>
                </c:pt>
                <c:pt idx="31">
                  <c:v>2192.0310216782973</c:v>
                </c:pt>
                <c:pt idx="32">
                  <c:v>2262.7416997969522</c:v>
                </c:pt>
                <c:pt idx="33">
                  <c:v>2333.452377915607</c:v>
                </c:pt>
                <c:pt idx="34">
                  <c:v>2404.1630560342619</c:v>
                </c:pt>
                <c:pt idx="35">
                  <c:v>2474.8737341529163</c:v>
                </c:pt>
                <c:pt idx="36">
                  <c:v>2545.5844122715712</c:v>
                </c:pt>
                <c:pt idx="37">
                  <c:v>2616.2950903902261</c:v>
                </c:pt>
                <c:pt idx="38">
                  <c:v>2687.0057685088805</c:v>
                </c:pt>
                <c:pt idx="39">
                  <c:v>2757.7164466275353</c:v>
                </c:pt>
                <c:pt idx="40">
                  <c:v>2828.4271247461902</c:v>
                </c:pt>
                <c:pt idx="41">
                  <c:v>2899.1378028648451</c:v>
                </c:pt>
                <c:pt idx="42">
                  <c:v>2969.8484809834999</c:v>
                </c:pt>
                <c:pt idx="43">
                  <c:v>3040.5591591021544</c:v>
                </c:pt>
                <c:pt idx="44">
                  <c:v>3111.2698372208092</c:v>
                </c:pt>
                <c:pt idx="45">
                  <c:v>3181.9805153394641</c:v>
                </c:pt>
                <c:pt idx="46">
                  <c:v>3252.691193458119</c:v>
                </c:pt>
                <c:pt idx="47">
                  <c:v>3323.4018715767734</c:v>
                </c:pt>
                <c:pt idx="48">
                  <c:v>3394.1125496954282</c:v>
                </c:pt>
                <c:pt idx="49">
                  <c:v>3464.8232278140831</c:v>
                </c:pt>
                <c:pt idx="50">
                  <c:v>3535.533905932738</c:v>
                </c:pt>
                <c:pt idx="51">
                  <c:v>3606.2445840513924</c:v>
                </c:pt>
                <c:pt idx="52">
                  <c:v>3676.9552621700473</c:v>
                </c:pt>
                <c:pt idx="53">
                  <c:v>3747.6659402887021</c:v>
                </c:pt>
                <c:pt idx="54">
                  <c:v>3818.376618407357</c:v>
                </c:pt>
                <c:pt idx="55">
                  <c:v>3889.0872965260119</c:v>
                </c:pt>
                <c:pt idx="56">
                  <c:v>3959.7979746446663</c:v>
                </c:pt>
                <c:pt idx="57">
                  <c:v>4030.5086527633212</c:v>
                </c:pt>
                <c:pt idx="58">
                  <c:v>4101.219330881976</c:v>
                </c:pt>
                <c:pt idx="59">
                  <c:v>4171.9300090006309</c:v>
                </c:pt>
                <c:pt idx="60">
                  <c:v>4242.6406871192858</c:v>
                </c:pt>
                <c:pt idx="61">
                  <c:v>4313.3513652379406</c:v>
                </c:pt>
                <c:pt idx="62">
                  <c:v>4384.0620433565946</c:v>
                </c:pt>
                <c:pt idx="63">
                  <c:v>4454.7727214752495</c:v>
                </c:pt>
                <c:pt idx="64">
                  <c:v>4525.4833995939043</c:v>
                </c:pt>
                <c:pt idx="65">
                  <c:v>4596.1940777125592</c:v>
                </c:pt>
                <c:pt idx="66">
                  <c:v>4666.9047558312141</c:v>
                </c:pt>
                <c:pt idx="67">
                  <c:v>4737.6154339498689</c:v>
                </c:pt>
                <c:pt idx="68">
                  <c:v>4808.3261120685238</c:v>
                </c:pt>
                <c:pt idx="69">
                  <c:v>4879.0367901871787</c:v>
                </c:pt>
                <c:pt idx="70">
                  <c:v>4949.7474683058326</c:v>
                </c:pt>
                <c:pt idx="71">
                  <c:v>5020.4581464244875</c:v>
                </c:pt>
              </c:numCache>
            </c:numRef>
          </c:xVal>
          <c:yVal>
            <c:numRef>
              <c:f>Лист1!$C$8:$C$79</c:f>
              <c:numCache>
                <c:formatCode>General</c:formatCode>
                <c:ptCount val="72"/>
                <c:pt idx="0">
                  <c:v>0</c:v>
                </c:pt>
                <c:pt idx="1">
                  <c:v>69.485678118654747</c:v>
                </c:pt>
                <c:pt idx="2">
                  <c:v>136.52135623730948</c:v>
                </c:pt>
                <c:pt idx="3">
                  <c:v>201.10703435596423</c:v>
                </c:pt>
                <c:pt idx="4">
                  <c:v>263.24271247461894</c:v>
                </c:pt>
                <c:pt idx="5">
                  <c:v>322.92839059327372</c:v>
                </c:pt>
                <c:pt idx="6">
                  <c:v>380.16406871192845</c:v>
                </c:pt>
                <c:pt idx="7">
                  <c:v>434.94974683058319</c:v>
                </c:pt>
                <c:pt idx="8">
                  <c:v>487.28542494923795</c:v>
                </c:pt>
                <c:pt idx="9">
                  <c:v>537.17110306789266</c:v>
                </c:pt>
                <c:pt idx="10">
                  <c:v>584.60678118654744</c:v>
                </c:pt>
                <c:pt idx="11">
                  <c:v>629.59245930520217</c:v>
                </c:pt>
                <c:pt idx="12">
                  <c:v>672.12813742385697</c:v>
                </c:pt>
                <c:pt idx="13">
                  <c:v>712.21381554251172</c:v>
                </c:pt>
                <c:pt idx="14">
                  <c:v>749.84949366116643</c:v>
                </c:pt>
                <c:pt idx="15">
                  <c:v>785.03517177982121</c:v>
                </c:pt>
                <c:pt idx="16">
                  <c:v>817.77084989847583</c:v>
                </c:pt>
                <c:pt idx="17">
                  <c:v>848.05652801713063</c:v>
                </c:pt>
                <c:pt idx="18">
                  <c:v>875.89220613578527</c:v>
                </c:pt>
                <c:pt idx="19">
                  <c:v>901.27788425444021</c:v>
                </c:pt>
                <c:pt idx="20">
                  <c:v>924.21356237309487</c:v>
                </c:pt>
                <c:pt idx="21">
                  <c:v>944.69924049174972</c:v>
                </c:pt>
                <c:pt idx="22">
                  <c:v>962.73491861040429</c:v>
                </c:pt>
                <c:pt idx="23">
                  <c:v>978.32059672905916</c:v>
                </c:pt>
                <c:pt idx="24">
                  <c:v>991.45627484771387</c:v>
                </c:pt>
                <c:pt idx="25">
                  <c:v>1002.1419529663688</c:v>
                </c:pt>
                <c:pt idx="26">
                  <c:v>1010.3776310850234</c:v>
                </c:pt>
                <c:pt idx="27">
                  <c:v>1016.163309203678</c:v>
                </c:pt>
                <c:pt idx="28">
                  <c:v>1019.4989873223328</c:v>
                </c:pt>
                <c:pt idx="29">
                  <c:v>1020.3846654409874</c:v>
                </c:pt>
                <c:pt idx="30">
                  <c:v>1018.8203435596424</c:v>
                </c:pt>
                <c:pt idx="31">
                  <c:v>1014.8060216782972</c:v>
                </c:pt>
                <c:pt idx="32">
                  <c:v>1008.3416997969516</c:v>
                </c:pt>
                <c:pt idx="33">
                  <c:v>999.42737791560648</c:v>
                </c:pt>
                <c:pt idx="34">
                  <c:v>988.06305603426131</c:v>
                </c:pt>
                <c:pt idx="35">
                  <c:v>974.24873415291631</c:v>
                </c:pt>
                <c:pt idx="36">
                  <c:v>957.98441227157059</c:v>
                </c:pt>
                <c:pt idx="37">
                  <c:v>939.2700903902255</c:v>
                </c:pt>
                <c:pt idx="38">
                  <c:v>918.10576850888037</c:v>
                </c:pt>
                <c:pt idx="39">
                  <c:v>894.49144662753474</c:v>
                </c:pt>
                <c:pt idx="40">
                  <c:v>868.42712474618952</c:v>
                </c:pt>
                <c:pt idx="41">
                  <c:v>839.91280286484425</c:v>
                </c:pt>
                <c:pt idx="42">
                  <c:v>808.94848098349939</c:v>
                </c:pt>
                <c:pt idx="43">
                  <c:v>775.53415910215381</c:v>
                </c:pt>
                <c:pt idx="44">
                  <c:v>739.6698372208084</c:v>
                </c:pt>
                <c:pt idx="45">
                  <c:v>701.35551533946364</c:v>
                </c:pt>
                <c:pt idx="46">
                  <c:v>660.59119345811814</c:v>
                </c:pt>
                <c:pt idx="47">
                  <c:v>617.37687157677283</c:v>
                </c:pt>
                <c:pt idx="48">
                  <c:v>571.7125496954277</c:v>
                </c:pt>
                <c:pt idx="49">
                  <c:v>523.59822781408229</c:v>
                </c:pt>
                <c:pt idx="50">
                  <c:v>473.03390593273753</c:v>
                </c:pt>
                <c:pt idx="51">
                  <c:v>420.01958405139158</c:v>
                </c:pt>
                <c:pt idx="52">
                  <c:v>364.55526217004672</c:v>
                </c:pt>
                <c:pt idx="53">
                  <c:v>306.64094028870159</c:v>
                </c:pt>
                <c:pt idx="54">
                  <c:v>246.27661840735573</c:v>
                </c:pt>
                <c:pt idx="55">
                  <c:v>183.4622965260105</c:v>
                </c:pt>
                <c:pt idx="56">
                  <c:v>118.19797464466546</c:v>
                </c:pt>
                <c:pt idx="57">
                  <c:v>50.483652763320606</c:v>
                </c:pt>
                <c:pt idx="58">
                  <c:v>-19.680669118025435</c:v>
                </c:pt>
                <c:pt idx="59">
                  <c:v>-92.294990999370384</c:v>
                </c:pt>
                <c:pt idx="60">
                  <c:v>-167.35931288071515</c:v>
                </c:pt>
                <c:pt idx="61">
                  <c:v>-244.87363476206065</c:v>
                </c:pt>
                <c:pt idx="62">
                  <c:v>-324.83795664340596</c:v>
                </c:pt>
                <c:pt idx="63">
                  <c:v>-407.25227852475109</c:v>
                </c:pt>
                <c:pt idx="64">
                  <c:v>-492.11660040609695</c:v>
                </c:pt>
                <c:pt idx="65">
                  <c:v>-579.43092228744172</c:v>
                </c:pt>
                <c:pt idx="66">
                  <c:v>-669.19524416878721</c:v>
                </c:pt>
                <c:pt idx="67">
                  <c:v>-761.40956605013253</c:v>
                </c:pt>
                <c:pt idx="68">
                  <c:v>-856.07388793147766</c:v>
                </c:pt>
                <c:pt idx="69">
                  <c:v>-953.18820981282261</c:v>
                </c:pt>
                <c:pt idx="70">
                  <c:v>-1052.7525316941674</c:v>
                </c:pt>
                <c:pt idx="71">
                  <c:v>-1154.7668535755138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7-4395-8E6B-D9F1D0916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432799"/>
        <c:axId val="423322223"/>
      </c:scatterChart>
      <c:valAx>
        <c:axId val="4204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322223"/>
        <c:crosses val="autoZero"/>
        <c:crossBetween val="midCat"/>
      </c:valAx>
      <c:valAx>
        <c:axId val="4233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432799"/>
        <c:crosses val="autoZero"/>
        <c:crossBetween val="midCat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Траектория</a:t>
            </a:r>
            <a:r>
              <a:rPr lang="ru-RU" baseline="0"/>
              <a:t> полета 40 градусов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Лист1!$B$8:$B$61</c:f>
              <c:numCache>
                <c:formatCode>General</c:formatCode>
                <c:ptCount val="54"/>
                <c:pt idx="0">
                  <c:v>0</c:v>
                </c:pt>
                <c:pt idx="1">
                  <c:v>70.710678118654755</c:v>
                </c:pt>
                <c:pt idx="2">
                  <c:v>141.42135623730951</c:v>
                </c:pt>
                <c:pt idx="3">
                  <c:v>212.13203435596427</c:v>
                </c:pt>
                <c:pt idx="4">
                  <c:v>282.84271247461902</c:v>
                </c:pt>
                <c:pt idx="5">
                  <c:v>353.55339059327378</c:v>
                </c:pt>
                <c:pt idx="6">
                  <c:v>424.26406871192853</c:v>
                </c:pt>
                <c:pt idx="7">
                  <c:v>494.97474683058329</c:v>
                </c:pt>
                <c:pt idx="8">
                  <c:v>565.68542494923804</c:v>
                </c:pt>
                <c:pt idx="9">
                  <c:v>636.3961030678928</c:v>
                </c:pt>
                <c:pt idx="10">
                  <c:v>707.10678118654755</c:v>
                </c:pt>
                <c:pt idx="11">
                  <c:v>777.81745930520231</c:v>
                </c:pt>
                <c:pt idx="12">
                  <c:v>848.52813742385706</c:v>
                </c:pt>
                <c:pt idx="13">
                  <c:v>919.23881554251182</c:v>
                </c:pt>
                <c:pt idx="14">
                  <c:v>989.94949366116657</c:v>
                </c:pt>
                <c:pt idx="15">
                  <c:v>1060.6601717798214</c:v>
                </c:pt>
                <c:pt idx="16">
                  <c:v>1131.3708498984761</c:v>
                </c:pt>
                <c:pt idx="17">
                  <c:v>1202.0815280171309</c:v>
                </c:pt>
                <c:pt idx="18">
                  <c:v>1272.7922061357856</c:v>
                </c:pt>
                <c:pt idx="19">
                  <c:v>1343.5028842544402</c:v>
                </c:pt>
                <c:pt idx="20">
                  <c:v>1414.2135623730951</c:v>
                </c:pt>
                <c:pt idx="21">
                  <c:v>1484.92424049175</c:v>
                </c:pt>
                <c:pt idx="22">
                  <c:v>1555.6349186104046</c:v>
                </c:pt>
                <c:pt idx="23">
                  <c:v>1626.3455967290593</c:v>
                </c:pt>
                <c:pt idx="24">
                  <c:v>1697.0562748477141</c:v>
                </c:pt>
                <c:pt idx="25">
                  <c:v>1767.766952966369</c:v>
                </c:pt>
                <c:pt idx="26">
                  <c:v>1838.4776310850236</c:v>
                </c:pt>
                <c:pt idx="27">
                  <c:v>1909.1883092036783</c:v>
                </c:pt>
                <c:pt idx="28">
                  <c:v>1979.8989873223331</c:v>
                </c:pt>
                <c:pt idx="29">
                  <c:v>2050.609665440988</c:v>
                </c:pt>
                <c:pt idx="30">
                  <c:v>2121.3203435596424</c:v>
                </c:pt>
                <c:pt idx="31">
                  <c:v>2192.0310216782973</c:v>
                </c:pt>
                <c:pt idx="32">
                  <c:v>2262.7416997969522</c:v>
                </c:pt>
                <c:pt idx="33">
                  <c:v>2333.452377915607</c:v>
                </c:pt>
                <c:pt idx="34">
                  <c:v>2404.1630560342619</c:v>
                </c:pt>
                <c:pt idx="35">
                  <c:v>2474.8737341529163</c:v>
                </c:pt>
                <c:pt idx="36">
                  <c:v>2545.5844122715712</c:v>
                </c:pt>
                <c:pt idx="37">
                  <c:v>2616.2950903902261</c:v>
                </c:pt>
                <c:pt idx="38">
                  <c:v>2687.0057685088805</c:v>
                </c:pt>
                <c:pt idx="39">
                  <c:v>2757.7164466275353</c:v>
                </c:pt>
                <c:pt idx="40">
                  <c:v>2828.4271247461902</c:v>
                </c:pt>
                <c:pt idx="41">
                  <c:v>2899.1378028648451</c:v>
                </c:pt>
                <c:pt idx="42">
                  <c:v>2969.8484809834999</c:v>
                </c:pt>
                <c:pt idx="43">
                  <c:v>3040.5591591021544</c:v>
                </c:pt>
                <c:pt idx="44">
                  <c:v>3111.2698372208092</c:v>
                </c:pt>
                <c:pt idx="45">
                  <c:v>3181.9805153394641</c:v>
                </c:pt>
                <c:pt idx="46">
                  <c:v>3252.691193458119</c:v>
                </c:pt>
                <c:pt idx="47">
                  <c:v>3323.4018715767734</c:v>
                </c:pt>
                <c:pt idx="48">
                  <c:v>3394.1125496954282</c:v>
                </c:pt>
                <c:pt idx="49">
                  <c:v>3464.8232278140831</c:v>
                </c:pt>
                <c:pt idx="50">
                  <c:v>3535.533905932738</c:v>
                </c:pt>
                <c:pt idx="51">
                  <c:v>3606.2445840513924</c:v>
                </c:pt>
                <c:pt idx="52">
                  <c:v>3676.9552621700473</c:v>
                </c:pt>
                <c:pt idx="53">
                  <c:v>3747.6659402887021</c:v>
                </c:pt>
              </c:numCache>
            </c:numRef>
          </c:xVal>
          <c:yVal>
            <c:numRef>
              <c:f>Лист1!$C$8:$C$61</c:f>
              <c:numCache>
                <c:formatCode>General</c:formatCode>
                <c:ptCount val="54"/>
                <c:pt idx="0">
                  <c:v>0</c:v>
                </c:pt>
                <c:pt idx="1">
                  <c:v>69.485678118654747</c:v>
                </c:pt>
                <c:pt idx="2">
                  <c:v>136.52135623730948</c:v>
                </c:pt>
                <c:pt idx="3">
                  <c:v>201.10703435596423</c:v>
                </c:pt>
                <c:pt idx="4">
                  <c:v>263.24271247461894</c:v>
                </c:pt>
                <c:pt idx="5">
                  <c:v>322.92839059327372</c:v>
                </c:pt>
                <c:pt idx="6">
                  <c:v>380.16406871192845</c:v>
                </c:pt>
                <c:pt idx="7">
                  <c:v>434.94974683058319</c:v>
                </c:pt>
                <c:pt idx="8">
                  <c:v>487.28542494923795</c:v>
                </c:pt>
                <c:pt idx="9">
                  <c:v>537.17110306789266</c:v>
                </c:pt>
                <c:pt idx="10">
                  <c:v>584.60678118654744</c:v>
                </c:pt>
                <c:pt idx="11">
                  <c:v>629.59245930520217</c:v>
                </c:pt>
                <c:pt idx="12">
                  <c:v>672.12813742385697</c:v>
                </c:pt>
                <c:pt idx="13">
                  <c:v>712.21381554251172</c:v>
                </c:pt>
                <c:pt idx="14">
                  <c:v>749.84949366116643</c:v>
                </c:pt>
                <c:pt idx="15">
                  <c:v>785.03517177982121</c:v>
                </c:pt>
                <c:pt idx="16">
                  <c:v>817.77084989847583</c:v>
                </c:pt>
                <c:pt idx="17">
                  <c:v>848.05652801713063</c:v>
                </c:pt>
                <c:pt idx="18">
                  <c:v>875.89220613578527</c:v>
                </c:pt>
                <c:pt idx="19">
                  <c:v>901.27788425444021</c:v>
                </c:pt>
                <c:pt idx="20">
                  <c:v>924.21356237309487</c:v>
                </c:pt>
                <c:pt idx="21">
                  <c:v>944.69924049174972</c:v>
                </c:pt>
                <c:pt idx="22">
                  <c:v>962.73491861040429</c:v>
                </c:pt>
                <c:pt idx="23">
                  <c:v>978.32059672905916</c:v>
                </c:pt>
                <c:pt idx="24">
                  <c:v>991.45627484771387</c:v>
                </c:pt>
                <c:pt idx="25">
                  <c:v>1002.1419529663688</c:v>
                </c:pt>
                <c:pt idx="26">
                  <c:v>1010.3776310850234</c:v>
                </c:pt>
                <c:pt idx="27">
                  <c:v>1016.163309203678</c:v>
                </c:pt>
                <c:pt idx="28">
                  <c:v>1019.4989873223328</c:v>
                </c:pt>
                <c:pt idx="29">
                  <c:v>1020.3846654409874</c:v>
                </c:pt>
                <c:pt idx="30">
                  <c:v>1018.8203435596424</c:v>
                </c:pt>
                <c:pt idx="31">
                  <c:v>1014.8060216782972</c:v>
                </c:pt>
                <c:pt idx="32">
                  <c:v>1008.3416997969516</c:v>
                </c:pt>
                <c:pt idx="33">
                  <c:v>999.42737791560648</c:v>
                </c:pt>
                <c:pt idx="34">
                  <c:v>988.06305603426131</c:v>
                </c:pt>
                <c:pt idx="35">
                  <c:v>974.24873415291631</c:v>
                </c:pt>
                <c:pt idx="36">
                  <c:v>957.98441227157059</c:v>
                </c:pt>
                <c:pt idx="37">
                  <c:v>939.2700903902255</c:v>
                </c:pt>
                <c:pt idx="38">
                  <c:v>918.10576850888037</c:v>
                </c:pt>
                <c:pt idx="39">
                  <c:v>894.49144662753474</c:v>
                </c:pt>
                <c:pt idx="40">
                  <c:v>868.42712474618952</c:v>
                </c:pt>
                <c:pt idx="41">
                  <c:v>839.91280286484425</c:v>
                </c:pt>
                <c:pt idx="42">
                  <c:v>808.94848098349939</c:v>
                </c:pt>
                <c:pt idx="43">
                  <c:v>775.53415910215381</c:v>
                </c:pt>
                <c:pt idx="44">
                  <c:v>739.6698372208084</c:v>
                </c:pt>
                <c:pt idx="45">
                  <c:v>701.35551533946364</c:v>
                </c:pt>
                <c:pt idx="46">
                  <c:v>660.59119345811814</c:v>
                </c:pt>
                <c:pt idx="47">
                  <c:v>617.37687157677283</c:v>
                </c:pt>
                <c:pt idx="48">
                  <c:v>571.7125496954277</c:v>
                </c:pt>
                <c:pt idx="49">
                  <c:v>523.59822781408229</c:v>
                </c:pt>
                <c:pt idx="50">
                  <c:v>473.03390593273753</c:v>
                </c:pt>
                <c:pt idx="51">
                  <c:v>420.01958405139158</c:v>
                </c:pt>
                <c:pt idx="52">
                  <c:v>364.55526217004672</c:v>
                </c:pt>
                <c:pt idx="53">
                  <c:v>306.64094028870159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1-458D-BAB1-62DF4E3B8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084784"/>
        <c:axId val="909402160"/>
      </c:scatterChart>
      <c:valAx>
        <c:axId val="134608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9402160"/>
        <c:crosses val="autoZero"/>
        <c:crossBetween val="midCat"/>
      </c:valAx>
      <c:valAx>
        <c:axId val="9094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6084784"/>
        <c:crosses val="autoZero"/>
        <c:crossBetween val="midCat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Траектория</a:t>
            </a:r>
            <a:r>
              <a:rPr lang="ru-RU" baseline="0"/>
              <a:t> полета 45 граудусов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Лист1!$B$8:$B$66</c:f>
              <c:numCache>
                <c:formatCode>General</c:formatCode>
                <c:ptCount val="59"/>
                <c:pt idx="0">
                  <c:v>0</c:v>
                </c:pt>
                <c:pt idx="1">
                  <c:v>70.710678118654755</c:v>
                </c:pt>
                <c:pt idx="2">
                  <c:v>141.42135623730951</c:v>
                </c:pt>
                <c:pt idx="3">
                  <c:v>212.13203435596427</c:v>
                </c:pt>
                <c:pt idx="4">
                  <c:v>282.84271247461902</c:v>
                </c:pt>
                <c:pt idx="5">
                  <c:v>353.55339059327378</c:v>
                </c:pt>
                <c:pt idx="6">
                  <c:v>424.26406871192853</c:v>
                </c:pt>
                <c:pt idx="7">
                  <c:v>494.97474683058329</c:v>
                </c:pt>
                <c:pt idx="8">
                  <c:v>565.68542494923804</c:v>
                </c:pt>
                <c:pt idx="9">
                  <c:v>636.3961030678928</c:v>
                </c:pt>
                <c:pt idx="10">
                  <c:v>707.10678118654755</c:v>
                </c:pt>
                <c:pt idx="11">
                  <c:v>777.81745930520231</c:v>
                </c:pt>
                <c:pt idx="12">
                  <c:v>848.52813742385706</c:v>
                </c:pt>
                <c:pt idx="13">
                  <c:v>919.23881554251182</c:v>
                </c:pt>
                <c:pt idx="14">
                  <c:v>989.94949366116657</c:v>
                </c:pt>
                <c:pt idx="15">
                  <c:v>1060.6601717798214</c:v>
                </c:pt>
                <c:pt idx="16">
                  <c:v>1131.3708498984761</c:v>
                </c:pt>
                <c:pt idx="17">
                  <c:v>1202.0815280171309</c:v>
                </c:pt>
                <c:pt idx="18">
                  <c:v>1272.7922061357856</c:v>
                </c:pt>
                <c:pt idx="19">
                  <c:v>1343.5028842544402</c:v>
                </c:pt>
                <c:pt idx="20">
                  <c:v>1414.2135623730951</c:v>
                </c:pt>
                <c:pt idx="21">
                  <c:v>1484.92424049175</c:v>
                </c:pt>
                <c:pt idx="22">
                  <c:v>1555.6349186104046</c:v>
                </c:pt>
                <c:pt idx="23">
                  <c:v>1626.3455967290593</c:v>
                </c:pt>
                <c:pt idx="24">
                  <c:v>1697.0562748477141</c:v>
                </c:pt>
                <c:pt idx="25">
                  <c:v>1767.766952966369</c:v>
                </c:pt>
                <c:pt idx="26">
                  <c:v>1838.4776310850236</c:v>
                </c:pt>
                <c:pt idx="27">
                  <c:v>1909.1883092036783</c:v>
                </c:pt>
                <c:pt idx="28">
                  <c:v>1979.8989873223331</c:v>
                </c:pt>
                <c:pt idx="29">
                  <c:v>2050.609665440988</c:v>
                </c:pt>
                <c:pt idx="30">
                  <c:v>2121.3203435596424</c:v>
                </c:pt>
                <c:pt idx="31">
                  <c:v>2192.0310216782973</c:v>
                </c:pt>
                <c:pt idx="32">
                  <c:v>2262.7416997969522</c:v>
                </c:pt>
                <c:pt idx="33">
                  <c:v>2333.452377915607</c:v>
                </c:pt>
                <c:pt idx="34">
                  <c:v>2404.1630560342619</c:v>
                </c:pt>
                <c:pt idx="35">
                  <c:v>2474.8737341529163</c:v>
                </c:pt>
                <c:pt idx="36">
                  <c:v>2545.5844122715712</c:v>
                </c:pt>
                <c:pt idx="37">
                  <c:v>2616.2950903902261</c:v>
                </c:pt>
                <c:pt idx="38">
                  <c:v>2687.0057685088805</c:v>
                </c:pt>
                <c:pt idx="39">
                  <c:v>2757.7164466275353</c:v>
                </c:pt>
                <c:pt idx="40">
                  <c:v>2828.4271247461902</c:v>
                </c:pt>
                <c:pt idx="41">
                  <c:v>2899.1378028648451</c:v>
                </c:pt>
                <c:pt idx="42">
                  <c:v>2969.8484809834999</c:v>
                </c:pt>
                <c:pt idx="43">
                  <c:v>3040.5591591021544</c:v>
                </c:pt>
                <c:pt idx="44">
                  <c:v>3111.2698372208092</c:v>
                </c:pt>
                <c:pt idx="45">
                  <c:v>3181.9805153394641</c:v>
                </c:pt>
                <c:pt idx="46">
                  <c:v>3252.691193458119</c:v>
                </c:pt>
                <c:pt idx="47">
                  <c:v>3323.4018715767734</c:v>
                </c:pt>
                <c:pt idx="48">
                  <c:v>3394.1125496954282</c:v>
                </c:pt>
                <c:pt idx="49">
                  <c:v>3464.8232278140831</c:v>
                </c:pt>
                <c:pt idx="50">
                  <c:v>3535.533905932738</c:v>
                </c:pt>
                <c:pt idx="51">
                  <c:v>3606.2445840513924</c:v>
                </c:pt>
                <c:pt idx="52">
                  <c:v>3676.9552621700473</c:v>
                </c:pt>
                <c:pt idx="53">
                  <c:v>3747.6659402887021</c:v>
                </c:pt>
                <c:pt idx="54">
                  <c:v>3818.376618407357</c:v>
                </c:pt>
                <c:pt idx="55">
                  <c:v>3889.0872965260119</c:v>
                </c:pt>
                <c:pt idx="56">
                  <c:v>3959.7979746446663</c:v>
                </c:pt>
                <c:pt idx="57">
                  <c:v>4030.5086527633212</c:v>
                </c:pt>
                <c:pt idx="58">
                  <c:v>4101.219330881976</c:v>
                </c:pt>
              </c:numCache>
            </c:numRef>
          </c:xVal>
          <c:yVal>
            <c:numRef>
              <c:f>Лист1!$C$8:$C$66</c:f>
              <c:numCache>
                <c:formatCode>General</c:formatCode>
                <c:ptCount val="59"/>
                <c:pt idx="0">
                  <c:v>0</c:v>
                </c:pt>
                <c:pt idx="1">
                  <c:v>69.485678118654747</c:v>
                </c:pt>
                <c:pt idx="2">
                  <c:v>136.52135623730948</c:v>
                </c:pt>
                <c:pt idx="3">
                  <c:v>201.10703435596423</c:v>
                </c:pt>
                <c:pt idx="4">
                  <c:v>263.24271247461894</c:v>
                </c:pt>
                <c:pt idx="5">
                  <c:v>322.92839059327372</c:v>
                </c:pt>
                <c:pt idx="6">
                  <c:v>380.16406871192845</c:v>
                </c:pt>
                <c:pt idx="7">
                  <c:v>434.94974683058319</c:v>
                </c:pt>
                <c:pt idx="8">
                  <c:v>487.28542494923795</c:v>
                </c:pt>
                <c:pt idx="9">
                  <c:v>537.17110306789266</c:v>
                </c:pt>
                <c:pt idx="10">
                  <c:v>584.60678118654744</c:v>
                </c:pt>
                <c:pt idx="11">
                  <c:v>629.59245930520217</c:v>
                </c:pt>
                <c:pt idx="12">
                  <c:v>672.12813742385697</c:v>
                </c:pt>
                <c:pt idx="13">
                  <c:v>712.21381554251172</c:v>
                </c:pt>
                <c:pt idx="14">
                  <c:v>749.84949366116643</c:v>
                </c:pt>
                <c:pt idx="15">
                  <c:v>785.03517177982121</c:v>
                </c:pt>
                <c:pt idx="16">
                  <c:v>817.77084989847583</c:v>
                </c:pt>
                <c:pt idx="17">
                  <c:v>848.05652801713063</c:v>
                </c:pt>
                <c:pt idx="18">
                  <c:v>875.89220613578527</c:v>
                </c:pt>
                <c:pt idx="19">
                  <c:v>901.27788425444021</c:v>
                </c:pt>
                <c:pt idx="20">
                  <c:v>924.21356237309487</c:v>
                </c:pt>
                <c:pt idx="21">
                  <c:v>944.69924049174972</c:v>
                </c:pt>
                <c:pt idx="22">
                  <c:v>962.73491861040429</c:v>
                </c:pt>
                <c:pt idx="23">
                  <c:v>978.32059672905916</c:v>
                </c:pt>
                <c:pt idx="24">
                  <c:v>991.45627484771387</c:v>
                </c:pt>
                <c:pt idx="25">
                  <c:v>1002.1419529663688</c:v>
                </c:pt>
                <c:pt idx="26">
                  <c:v>1010.3776310850234</c:v>
                </c:pt>
                <c:pt idx="27">
                  <c:v>1016.163309203678</c:v>
                </c:pt>
                <c:pt idx="28">
                  <c:v>1019.4989873223328</c:v>
                </c:pt>
                <c:pt idx="29">
                  <c:v>1020.3846654409874</c:v>
                </c:pt>
                <c:pt idx="30">
                  <c:v>1018.8203435596424</c:v>
                </c:pt>
                <c:pt idx="31">
                  <c:v>1014.8060216782972</c:v>
                </c:pt>
                <c:pt idx="32">
                  <c:v>1008.3416997969516</c:v>
                </c:pt>
                <c:pt idx="33">
                  <c:v>999.42737791560648</c:v>
                </c:pt>
                <c:pt idx="34">
                  <c:v>988.06305603426131</c:v>
                </c:pt>
                <c:pt idx="35">
                  <c:v>974.24873415291631</c:v>
                </c:pt>
                <c:pt idx="36">
                  <c:v>957.98441227157059</c:v>
                </c:pt>
                <c:pt idx="37">
                  <c:v>939.2700903902255</c:v>
                </c:pt>
                <c:pt idx="38">
                  <c:v>918.10576850888037</c:v>
                </c:pt>
                <c:pt idx="39">
                  <c:v>894.49144662753474</c:v>
                </c:pt>
                <c:pt idx="40">
                  <c:v>868.42712474618952</c:v>
                </c:pt>
                <c:pt idx="41">
                  <c:v>839.91280286484425</c:v>
                </c:pt>
                <c:pt idx="42">
                  <c:v>808.94848098349939</c:v>
                </c:pt>
                <c:pt idx="43">
                  <c:v>775.53415910215381</c:v>
                </c:pt>
                <c:pt idx="44">
                  <c:v>739.6698372208084</c:v>
                </c:pt>
                <c:pt idx="45">
                  <c:v>701.35551533946364</c:v>
                </c:pt>
                <c:pt idx="46">
                  <c:v>660.59119345811814</c:v>
                </c:pt>
                <c:pt idx="47">
                  <c:v>617.37687157677283</c:v>
                </c:pt>
                <c:pt idx="48">
                  <c:v>571.7125496954277</c:v>
                </c:pt>
                <c:pt idx="49">
                  <c:v>523.59822781408229</c:v>
                </c:pt>
                <c:pt idx="50">
                  <c:v>473.03390593273753</c:v>
                </c:pt>
                <c:pt idx="51">
                  <c:v>420.01958405139158</c:v>
                </c:pt>
                <c:pt idx="52">
                  <c:v>364.55526217004672</c:v>
                </c:pt>
                <c:pt idx="53">
                  <c:v>306.64094028870159</c:v>
                </c:pt>
                <c:pt idx="54">
                  <c:v>246.27661840735573</c:v>
                </c:pt>
                <c:pt idx="55">
                  <c:v>183.4622965260105</c:v>
                </c:pt>
                <c:pt idx="56">
                  <c:v>118.19797464466546</c:v>
                </c:pt>
                <c:pt idx="57">
                  <c:v>50.483652763320606</c:v>
                </c:pt>
                <c:pt idx="58">
                  <c:v>-19.680669118025435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E-42A7-B958-12062826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958464"/>
        <c:axId val="1341702752"/>
      </c:scatterChart>
      <c:valAx>
        <c:axId val="119195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1702752"/>
        <c:crosses val="autoZero"/>
        <c:crossBetween val="midCat"/>
      </c:valAx>
      <c:valAx>
        <c:axId val="134170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958464"/>
        <c:crosses val="autoZero"/>
        <c:crossBetween val="midCat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701040</xdr:colOff>
      <xdr:row>6</xdr:row>
      <xdr:rowOff>3810</xdr:rowOff>
    </xdr:from>
    <xdr:to>
      <xdr:col>9</xdr:col>
      <xdr:colOff>586740</xdr:colOff>
      <xdr:row>24</xdr:row>
      <xdr:rowOff>45720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67F844D-5A53-4565-B30D-41F4842CC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25</xdr:row>
      <xdr:rowOff>102870</xdr:rowOff>
    </xdr:from>
    <xdr:to>
      <xdr:col>9</xdr:col>
      <xdr:colOff>548640</xdr:colOff>
      <xdr:row>42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F7951D-88F0-4F7E-A387-C62DEA348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822960</xdr:colOff>
      <xdr:row>43</xdr:row>
      <xdr:rowOff>95250</xdr:rowOff>
    </xdr:from>
    <xdr:to>
      <xdr:col>9</xdr:col>
      <xdr:colOff>533400</xdr:colOff>
      <xdr:row>60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8FB6B37-2406-450B-A6BB-9A5EBA9C0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4"/>
  <sheetViews>
    <sheetView tabSelected="1" topLeftCell="A13" workbookViewId="0">
      <selection activeCell="K52" sqref="K52"/>
    </sheetView>
  </sheetViews>
  <sheetFormatPr defaultColWidth="12.6640625" defaultRowHeight="15.75" customHeight="1" x14ac:dyDescent="0.25"/>
  <cols>
    <col min="3" max="3" width="12.21875" customWidth="1"/>
    <col min="4" max="4" width="24.88671875" customWidth="1"/>
  </cols>
  <sheetData>
    <row r="1" spans="1:5" ht="14.4" x14ac:dyDescent="0.3">
      <c r="A1" s="1" t="s">
        <v>0</v>
      </c>
      <c r="B1" s="2">
        <v>200</v>
      </c>
      <c r="C1" s="3"/>
      <c r="D1" s="4" t="s">
        <v>1</v>
      </c>
      <c r="E1" s="3">
        <f>MAX(C8:C94)</f>
        <v>1020.3846654409874</v>
      </c>
    </row>
    <row r="2" spans="1:5" ht="14.4" x14ac:dyDescent="0.3">
      <c r="A2" s="5" t="s">
        <v>2</v>
      </c>
      <c r="B2" s="6">
        <v>45</v>
      </c>
      <c r="C2" s="3"/>
      <c r="D2" s="4" t="s">
        <v>3</v>
      </c>
      <c r="E2" s="4">
        <v>17.5</v>
      </c>
    </row>
    <row r="3" spans="1:5" ht="14.4" x14ac:dyDescent="0.3">
      <c r="A3" s="7" t="s">
        <v>4</v>
      </c>
      <c r="B3" s="8">
        <v>0</v>
      </c>
      <c r="C3" s="3"/>
      <c r="D3" s="4" t="s">
        <v>5</v>
      </c>
      <c r="E3" s="3">
        <f>B78</f>
        <v>4949.7474683058326</v>
      </c>
    </row>
    <row r="4" spans="1:5" ht="14.4" x14ac:dyDescent="0.3">
      <c r="A4" s="9" t="s">
        <v>6</v>
      </c>
      <c r="B4" s="10">
        <v>9.8000000000000007</v>
      </c>
      <c r="C4" s="3"/>
      <c r="D4" s="4" t="s">
        <v>7</v>
      </c>
      <c r="E4" s="3">
        <f>A78</f>
        <v>35</v>
      </c>
    </row>
    <row r="5" spans="1:5" ht="14.4" x14ac:dyDescent="0.3">
      <c r="A5" s="5"/>
      <c r="B5" s="6"/>
      <c r="C5" s="3"/>
      <c r="D5" s="3"/>
      <c r="E5" s="3"/>
    </row>
    <row r="6" spans="1:5" ht="14.4" x14ac:dyDescent="0.3">
      <c r="A6" s="3"/>
      <c r="B6" s="3"/>
      <c r="C6" s="3"/>
      <c r="D6" s="3"/>
      <c r="E6" s="3"/>
    </row>
    <row r="7" spans="1:5" ht="14.4" x14ac:dyDescent="0.3">
      <c r="A7" s="11" t="s">
        <v>8</v>
      </c>
      <c r="B7" s="12" t="s">
        <v>9</v>
      </c>
      <c r="C7" s="12" t="s">
        <v>10</v>
      </c>
      <c r="D7" s="16"/>
      <c r="E7" s="3"/>
    </row>
    <row r="8" spans="1:5" ht="14.4" x14ac:dyDescent="0.3">
      <c r="A8" s="13">
        <v>0</v>
      </c>
      <c r="B8" s="14">
        <f t="shared" ref="B8:B24" si="0">$B$1*A8*COS(RADIANS($B$2))</f>
        <v>0</v>
      </c>
      <c r="C8" s="13">
        <v>0</v>
      </c>
      <c r="D8" s="4"/>
      <c r="E8" s="3"/>
    </row>
    <row r="9" spans="1:5" ht="14.4" x14ac:dyDescent="0.3">
      <c r="A9" s="13">
        <v>0.5</v>
      </c>
      <c r="B9" s="14">
        <f t="shared" si="0"/>
        <v>70.710678118654755</v>
      </c>
      <c r="C9" s="13">
        <f>$B$1*A9*SIN(RADIANS($B$2))-(($B$4*A9^2)/2)</f>
        <v>69.485678118654747</v>
      </c>
      <c r="D9" s="4"/>
      <c r="E9" s="3"/>
    </row>
    <row r="10" spans="1:5" ht="14.4" x14ac:dyDescent="0.3">
      <c r="A10" s="13">
        <v>1</v>
      </c>
      <c r="B10" s="14">
        <f t="shared" si="0"/>
        <v>141.42135623730951</v>
      </c>
      <c r="C10" s="13">
        <f t="shared" ref="C9:C80" si="1">$B$1*A10*SIN(RADIANS($B$2))-(($B$4*A10^2)/2)</f>
        <v>136.52135623730948</v>
      </c>
      <c r="D10" s="4"/>
      <c r="E10" s="3"/>
    </row>
    <row r="11" spans="1:5" ht="14.4" x14ac:dyDescent="0.3">
      <c r="A11" s="13">
        <v>1.5</v>
      </c>
      <c r="B11" s="14">
        <f t="shared" si="0"/>
        <v>212.13203435596427</v>
      </c>
      <c r="C11" s="13">
        <f t="shared" si="1"/>
        <v>201.10703435596423</v>
      </c>
      <c r="D11" s="4"/>
      <c r="E11" s="3"/>
    </row>
    <row r="12" spans="1:5" ht="14.4" x14ac:dyDescent="0.3">
      <c r="A12" s="13">
        <v>2</v>
      </c>
      <c r="B12" s="14">
        <f t="shared" si="0"/>
        <v>282.84271247461902</v>
      </c>
      <c r="C12" s="13">
        <f t="shared" si="1"/>
        <v>263.24271247461894</v>
      </c>
      <c r="D12" s="4"/>
      <c r="E12" s="3"/>
    </row>
    <row r="13" spans="1:5" ht="14.4" x14ac:dyDescent="0.3">
      <c r="A13" s="13">
        <v>2.5</v>
      </c>
      <c r="B13" s="14">
        <f t="shared" si="0"/>
        <v>353.55339059327378</v>
      </c>
      <c r="C13" s="13">
        <f t="shared" si="1"/>
        <v>322.92839059327372</v>
      </c>
      <c r="D13" s="4"/>
      <c r="E13" s="3"/>
    </row>
    <row r="14" spans="1:5" ht="14.4" x14ac:dyDescent="0.3">
      <c r="A14" s="13">
        <v>3</v>
      </c>
      <c r="B14" s="14">
        <f t="shared" si="0"/>
        <v>424.26406871192853</v>
      </c>
      <c r="C14" s="13">
        <f t="shared" si="1"/>
        <v>380.16406871192845</v>
      </c>
      <c r="D14" s="4"/>
      <c r="E14" s="3"/>
    </row>
    <row r="15" spans="1:5" ht="14.4" x14ac:dyDescent="0.3">
      <c r="A15" s="13">
        <v>3.5</v>
      </c>
      <c r="B15" s="14">
        <f t="shared" si="0"/>
        <v>494.97474683058329</v>
      </c>
      <c r="C15" s="13">
        <f t="shared" si="1"/>
        <v>434.94974683058319</v>
      </c>
      <c r="D15" s="4"/>
      <c r="E15" s="3"/>
    </row>
    <row r="16" spans="1:5" ht="14.4" x14ac:dyDescent="0.3">
      <c r="A16" s="13">
        <v>4</v>
      </c>
      <c r="B16" s="14">
        <f t="shared" si="0"/>
        <v>565.68542494923804</v>
      </c>
      <c r="C16" s="13">
        <f t="shared" si="1"/>
        <v>487.28542494923795</v>
      </c>
      <c r="D16" s="4"/>
      <c r="E16" s="3"/>
    </row>
    <row r="17" spans="1:5" ht="14.4" x14ac:dyDescent="0.3">
      <c r="A17" s="13">
        <v>4.5</v>
      </c>
      <c r="B17" s="14">
        <f t="shared" si="0"/>
        <v>636.3961030678928</v>
      </c>
      <c r="C17" s="13">
        <f t="shared" si="1"/>
        <v>537.17110306789266</v>
      </c>
      <c r="D17" s="4"/>
      <c r="E17" s="3"/>
    </row>
    <row r="18" spans="1:5" ht="14.4" x14ac:dyDescent="0.3">
      <c r="A18" s="13">
        <v>5</v>
      </c>
      <c r="B18" s="14">
        <f t="shared" si="0"/>
        <v>707.10678118654755</v>
      </c>
      <c r="C18" s="13">
        <f t="shared" si="1"/>
        <v>584.60678118654744</v>
      </c>
      <c r="D18" s="4"/>
      <c r="E18" s="3"/>
    </row>
    <row r="19" spans="1:5" ht="14.4" x14ac:dyDescent="0.3">
      <c r="A19" s="13">
        <v>5.5</v>
      </c>
      <c r="B19" s="14">
        <f t="shared" si="0"/>
        <v>777.81745930520231</v>
      </c>
      <c r="C19" s="13">
        <f t="shared" si="1"/>
        <v>629.59245930520217</v>
      </c>
      <c r="D19" s="4"/>
      <c r="E19" s="3"/>
    </row>
    <row r="20" spans="1:5" ht="14.4" x14ac:dyDescent="0.3">
      <c r="A20" s="13">
        <v>6</v>
      </c>
      <c r="B20" s="14">
        <f t="shared" si="0"/>
        <v>848.52813742385706</v>
      </c>
      <c r="C20" s="13">
        <f t="shared" si="1"/>
        <v>672.12813742385697</v>
      </c>
      <c r="D20" s="4"/>
      <c r="E20" s="3"/>
    </row>
    <row r="21" spans="1:5" ht="14.4" x14ac:dyDescent="0.3">
      <c r="A21" s="13">
        <v>6.5</v>
      </c>
      <c r="B21" s="14">
        <f t="shared" si="0"/>
        <v>919.23881554251182</v>
      </c>
      <c r="C21" s="13">
        <f t="shared" si="1"/>
        <v>712.21381554251172</v>
      </c>
      <c r="D21" s="4"/>
      <c r="E21" s="3"/>
    </row>
    <row r="22" spans="1:5" ht="14.4" x14ac:dyDescent="0.3">
      <c r="A22" s="13">
        <v>7</v>
      </c>
      <c r="B22" s="14">
        <f t="shared" si="0"/>
        <v>989.94949366116657</v>
      </c>
      <c r="C22" s="13">
        <f t="shared" si="1"/>
        <v>749.84949366116643</v>
      </c>
      <c r="D22" s="4"/>
      <c r="E22" s="3"/>
    </row>
    <row r="23" spans="1:5" ht="14.4" x14ac:dyDescent="0.3">
      <c r="A23" s="13">
        <v>7.5</v>
      </c>
      <c r="B23" s="14">
        <f t="shared" si="0"/>
        <v>1060.6601717798214</v>
      </c>
      <c r="C23" s="13">
        <f t="shared" si="1"/>
        <v>785.03517177982121</v>
      </c>
      <c r="D23" s="4"/>
      <c r="E23" s="3"/>
    </row>
    <row r="24" spans="1:5" ht="14.4" x14ac:dyDescent="0.3">
      <c r="A24" s="13">
        <v>8</v>
      </c>
      <c r="B24" s="14">
        <f t="shared" si="0"/>
        <v>1131.3708498984761</v>
      </c>
      <c r="C24" s="13">
        <f t="shared" si="1"/>
        <v>817.77084989847583</v>
      </c>
      <c r="D24" s="4"/>
      <c r="E24" s="3"/>
    </row>
    <row r="25" spans="1:5" ht="14.4" x14ac:dyDescent="0.3">
      <c r="A25" s="13">
        <v>8.5</v>
      </c>
      <c r="B25" s="14">
        <f t="shared" ref="B25:B50" si="2">$B$1*COS(RADIANS($B$2))*A25</f>
        <v>1202.0815280171309</v>
      </c>
      <c r="C25" s="13">
        <f t="shared" si="1"/>
        <v>848.05652801713063</v>
      </c>
      <c r="D25" s="4"/>
      <c r="E25" s="3"/>
    </row>
    <row r="26" spans="1:5" ht="14.4" x14ac:dyDescent="0.3">
      <c r="A26" s="13">
        <v>9</v>
      </c>
      <c r="B26" s="14">
        <f t="shared" si="2"/>
        <v>1272.7922061357856</v>
      </c>
      <c r="C26" s="13">
        <f t="shared" si="1"/>
        <v>875.89220613578527</v>
      </c>
      <c r="D26" s="4"/>
      <c r="E26" s="3"/>
    </row>
    <row r="27" spans="1:5" ht="14.4" x14ac:dyDescent="0.3">
      <c r="A27" s="13">
        <v>9.5</v>
      </c>
      <c r="B27" s="14">
        <f t="shared" si="2"/>
        <v>1343.5028842544402</v>
      </c>
      <c r="C27" s="13">
        <f t="shared" si="1"/>
        <v>901.27788425444021</v>
      </c>
      <c r="D27" s="4"/>
      <c r="E27" s="3"/>
    </row>
    <row r="28" spans="1:5" ht="14.4" x14ac:dyDescent="0.3">
      <c r="A28" s="13">
        <v>10</v>
      </c>
      <c r="B28" s="14">
        <f t="shared" si="2"/>
        <v>1414.2135623730951</v>
      </c>
      <c r="C28" s="13">
        <f t="shared" si="1"/>
        <v>924.21356237309487</v>
      </c>
      <c r="D28" s="4"/>
      <c r="E28" s="3"/>
    </row>
    <row r="29" spans="1:5" ht="14.4" x14ac:dyDescent="0.3">
      <c r="A29" s="13">
        <v>10.5</v>
      </c>
      <c r="B29" s="14">
        <f t="shared" si="2"/>
        <v>1484.92424049175</v>
      </c>
      <c r="C29" s="13">
        <f t="shared" si="1"/>
        <v>944.69924049174972</v>
      </c>
      <c r="D29" s="4"/>
      <c r="E29" s="3"/>
    </row>
    <row r="30" spans="1:5" ht="14.4" x14ac:dyDescent="0.3">
      <c r="A30" s="13">
        <v>11</v>
      </c>
      <c r="B30" s="14">
        <f t="shared" si="2"/>
        <v>1555.6349186104046</v>
      </c>
      <c r="C30" s="13">
        <f t="shared" si="1"/>
        <v>962.73491861040429</v>
      </c>
      <c r="D30" s="4"/>
      <c r="E30" s="3"/>
    </row>
    <row r="31" spans="1:5" ht="14.4" x14ac:dyDescent="0.3">
      <c r="A31" s="13">
        <v>11.5</v>
      </c>
      <c r="B31" s="14">
        <f t="shared" si="2"/>
        <v>1626.3455967290593</v>
      </c>
      <c r="C31" s="13">
        <f t="shared" si="1"/>
        <v>978.32059672905916</v>
      </c>
      <c r="D31" s="4"/>
    </row>
    <row r="32" spans="1:5" ht="14.4" x14ac:dyDescent="0.3">
      <c r="A32" s="13">
        <v>12</v>
      </c>
      <c r="B32" s="14">
        <f t="shared" si="2"/>
        <v>1697.0562748477141</v>
      </c>
      <c r="C32" s="13">
        <f t="shared" si="1"/>
        <v>991.45627484771387</v>
      </c>
      <c r="D32" s="4"/>
    </row>
    <row r="33" spans="1:4" ht="14.4" x14ac:dyDescent="0.3">
      <c r="A33" s="13">
        <v>12.5</v>
      </c>
      <c r="B33" s="14">
        <f t="shared" si="2"/>
        <v>1767.766952966369</v>
      </c>
      <c r="C33" s="13">
        <f t="shared" si="1"/>
        <v>1002.1419529663688</v>
      </c>
      <c r="D33" s="4"/>
    </row>
    <row r="34" spans="1:4" ht="14.4" x14ac:dyDescent="0.3">
      <c r="A34" s="13">
        <v>13</v>
      </c>
      <c r="B34" s="14">
        <f t="shared" si="2"/>
        <v>1838.4776310850236</v>
      </c>
      <c r="C34" s="13">
        <f t="shared" si="1"/>
        <v>1010.3776310850234</v>
      </c>
      <c r="D34" s="4"/>
    </row>
    <row r="35" spans="1:4" ht="14.4" x14ac:dyDescent="0.3">
      <c r="A35" s="13">
        <v>13.5</v>
      </c>
      <c r="B35" s="14">
        <f t="shared" si="2"/>
        <v>1909.1883092036783</v>
      </c>
      <c r="C35" s="13">
        <f t="shared" si="1"/>
        <v>1016.163309203678</v>
      </c>
      <c r="D35" s="4"/>
    </row>
    <row r="36" spans="1:4" ht="14.4" x14ac:dyDescent="0.3">
      <c r="A36" s="13">
        <v>14</v>
      </c>
      <c r="B36" s="14">
        <f t="shared" si="2"/>
        <v>1979.8989873223331</v>
      </c>
      <c r="C36" s="13">
        <f t="shared" si="1"/>
        <v>1019.4989873223328</v>
      </c>
      <c r="D36" s="4"/>
    </row>
    <row r="37" spans="1:4" ht="14.4" x14ac:dyDescent="0.3">
      <c r="A37" s="13">
        <v>14.5</v>
      </c>
      <c r="B37" s="14">
        <f t="shared" si="2"/>
        <v>2050.609665440988</v>
      </c>
      <c r="C37" s="13">
        <f t="shared" si="1"/>
        <v>1020.3846654409874</v>
      </c>
      <c r="D37" s="4"/>
    </row>
    <row r="38" spans="1:4" ht="14.4" x14ac:dyDescent="0.3">
      <c r="A38" s="13">
        <v>15</v>
      </c>
      <c r="B38" s="14">
        <f t="shared" si="2"/>
        <v>2121.3203435596424</v>
      </c>
      <c r="C38" s="13">
        <f t="shared" si="1"/>
        <v>1018.8203435596424</v>
      </c>
      <c r="D38" s="4"/>
    </row>
    <row r="39" spans="1:4" ht="14.4" x14ac:dyDescent="0.3">
      <c r="A39" s="13">
        <v>15.5</v>
      </c>
      <c r="B39" s="14">
        <f t="shared" si="2"/>
        <v>2192.0310216782973</v>
      </c>
      <c r="C39" s="13">
        <f t="shared" si="1"/>
        <v>1014.8060216782972</v>
      </c>
      <c r="D39" s="4"/>
    </row>
    <row r="40" spans="1:4" ht="14.4" x14ac:dyDescent="0.3">
      <c r="A40" s="13">
        <v>16</v>
      </c>
      <c r="B40" s="14">
        <f t="shared" si="2"/>
        <v>2262.7416997969522</v>
      </c>
      <c r="C40" s="13">
        <f t="shared" si="1"/>
        <v>1008.3416997969516</v>
      </c>
      <c r="D40" s="4"/>
    </row>
    <row r="41" spans="1:4" ht="14.4" x14ac:dyDescent="0.3">
      <c r="A41" s="13">
        <v>16.5</v>
      </c>
      <c r="B41" s="14">
        <f t="shared" si="2"/>
        <v>2333.452377915607</v>
      </c>
      <c r="C41" s="13">
        <f t="shared" si="1"/>
        <v>999.42737791560648</v>
      </c>
      <c r="D41" s="4"/>
    </row>
    <row r="42" spans="1:4" ht="14.4" x14ac:dyDescent="0.3">
      <c r="A42" s="13">
        <v>17</v>
      </c>
      <c r="B42" s="14">
        <f t="shared" si="2"/>
        <v>2404.1630560342619</v>
      </c>
      <c r="C42" s="13">
        <f t="shared" si="1"/>
        <v>988.06305603426131</v>
      </c>
      <c r="D42" s="4"/>
    </row>
    <row r="43" spans="1:4" ht="14.4" x14ac:dyDescent="0.3">
      <c r="A43" s="13">
        <v>17.5</v>
      </c>
      <c r="B43" s="14">
        <f t="shared" si="2"/>
        <v>2474.8737341529163</v>
      </c>
      <c r="C43" s="13">
        <f t="shared" si="1"/>
        <v>974.24873415291631</v>
      </c>
      <c r="D43" s="4"/>
    </row>
    <row r="44" spans="1:4" ht="14.4" x14ac:dyDescent="0.3">
      <c r="A44" s="13">
        <v>18</v>
      </c>
      <c r="B44" s="14">
        <f t="shared" si="2"/>
        <v>2545.5844122715712</v>
      </c>
      <c r="C44" s="13">
        <f t="shared" si="1"/>
        <v>957.98441227157059</v>
      </c>
      <c r="D44" s="4"/>
    </row>
    <row r="45" spans="1:4" ht="14.4" x14ac:dyDescent="0.3">
      <c r="A45" s="13">
        <v>18.5</v>
      </c>
      <c r="B45" s="14">
        <f t="shared" si="2"/>
        <v>2616.2950903902261</v>
      </c>
      <c r="C45" s="13">
        <f t="shared" si="1"/>
        <v>939.2700903902255</v>
      </c>
      <c r="D45" s="4"/>
    </row>
    <row r="46" spans="1:4" ht="14.4" x14ac:dyDescent="0.3">
      <c r="A46" s="13">
        <v>19</v>
      </c>
      <c r="B46" s="14">
        <f t="shared" si="2"/>
        <v>2687.0057685088805</v>
      </c>
      <c r="C46" s="13">
        <f t="shared" si="1"/>
        <v>918.10576850888037</v>
      </c>
      <c r="D46" s="4"/>
    </row>
    <row r="47" spans="1:4" ht="14.4" x14ac:dyDescent="0.3">
      <c r="A47" s="13">
        <v>19.5</v>
      </c>
      <c r="B47" s="14">
        <f t="shared" si="2"/>
        <v>2757.7164466275353</v>
      </c>
      <c r="C47" s="13">
        <f t="shared" si="1"/>
        <v>894.49144662753474</v>
      </c>
      <c r="D47" s="4"/>
    </row>
    <row r="48" spans="1:4" ht="14.4" x14ac:dyDescent="0.3">
      <c r="A48" s="13">
        <v>20</v>
      </c>
      <c r="B48" s="14">
        <f t="shared" si="2"/>
        <v>2828.4271247461902</v>
      </c>
      <c r="C48" s="13">
        <f t="shared" si="1"/>
        <v>868.42712474618952</v>
      </c>
      <c r="D48" s="4"/>
    </row>
    <row r="49" spans="1:4" ht="14.4" x14ac:dyDescent="0.3">
      <c r="A49" s="13">
        <v>20.5</v>
      </c>
      <c r="B49" s="14">
        <f t="shared" si="2"/>
        <v>2899.1378028648451</v>
      </c>
      <c r="C49" s="13">
        <f t="shared" si="1"/>
        <v>839.91280286484425</v>
      </c>
      <c r="D49" s="4"/>
    </row>
    <row r="50" spans="1:4" ht="14.4" x14ac:dyDescent="0.3">
      <c r="A50" s="13">
        <v>21</v>
      </c>
      <c r="B50" s="14">
        <f t="shared" si="2"/>
        <v>2969.8484809834999</v>
      </c>
      <c r="C50" s="13">
        <f t="shared" si="1"/>
        <v>808.94848098349939</v>
      </c>
      <c r="D50" s="4"/>
    </row>
    <row r="51" spans="1:4" ht="14.4" x14ac:dyDescent="0.3">
      <c r="A51" s="13">
        <v>21.5</v>
      </c>
      <c r="B51" s="14">
        <f t="shared" ref="B51:B81" si="3">$B$1*A51*COS(RADIANS($B$2))</f>
        <v>3040.5591591021544</v>
      </c>
      <c r="C51" s="13">
        <f t="shared" si="1"/>
        <v>775.53415910215381</v>
      </c>
      <c r="D51" s="4"/>
    </row>
    <row r="52" spans="1:4" ht="14.4" x14ac:dyDescent="0.3">
      <c r="A52" s="13">
        <v>22</v>
      </c>
      <c r="B52" s="14">
        <f t="shared" si="3"/>
        <v>3111.2698372208092</v>
      </c>
      <c r="C52" s="13">
        <f t="shared" si="1"/>
        <v>739.6698372208084</v>
      </c>
      <c r="D52" s="4"/>
    </row>
    <row r="53" spans="1:4" ht="14.4" x14ac:dyDescent="0.3">
      <c r="A53" s="13">
        <v>22.5</v>
      </c>
      <c r="B53" s="14">
        <f t="shared" si="3"/>
        <v>3181.9805153394641</v>
      </c>
      <c r="C53" s="13">
        <f t="shared" si="1"/>
        <v>701.35551533946364</v>
      </c>
      <c r="D53" s="4"/>
    </row>
    <row r="54" spans="1:4" ht="14.4" x14ac:dyDescent="0.3">
      <c r="A54" s="13">
        <v>23</v>
      </c>
      <c r="B54" s="14">
        <f t="shared" si="3"/>
        <v>3252.691193458119</v>
      </c>
      <c r="C54" s="13">
        <f t="shared" si="1"/>
        <v>660.59119345811814</v>
      </c>
      <c r="D54" s="4"/>
    </row>
    <row r="55" spans="1:4" ht="14.4" x14ac:dyDescent="0.3">
      <c r="A55" s="13">
        <v>23.5</v>
      </c>
      <c r="B55" s="14">
        <f t="shared" si="3"/>
        <v>3323.4018715767734</v>
      </c>
      <c r="C55" s="13">
        <f t="shared" si="1"/>
        <v>617.37687157677283</v>
      </c>
    </row>
    <row r="56" spans="1:4" ht="14.4" x14ac:dyDescent="0.3">
      <c r="A56" s="13">
        <v>24</v>
      </c>
      <c r="B56" s="14">
        <f t="shared" si="3"/>
        <v>3394.1125496954282</v>
      </c>
      <c r="C56" s="13">
        <f t="shared" si="1"/>
        <v>571.7125496954277</v>
      </c>
    </row>
    <row r="57" spans="1:4" ht="14.4" x14ac:dyDescent="0.3">
      <c r="A57" s="13">
        <v>24.5</v>
      </c>
      <c r="B57" s="14">
        <f t="shared" si="3"/>
        <v>3464.8232278140831</v>
      </c>
      <c r="C57" s="13">
        <f t="shared" si="1"/>
        <v>523.59822781408229</v>
      </c>
    </row>
    <row r="58" spans="1:4" ht="14.4" x14ac:dyDescent="0.3">
      <c r="A58" s="13">
        <v>25</v>
      </c>
      <c r="B58" s="14">
        <f t="shared" si="3"/>
        <v>3535.533905932738</v>
      </c>
      <c r="C58" s="13">
        <f t="shared" si="1"/>
        <v>473.03390593273753</v>
      </c>
    </row>
    <row r="59" spans="1:4" ht="14.4" x14ac:dyDescent="0.3">
      <c r="A59" s="13">
        <v>25.5</v>
      </c>
      <c r="B59" s="14">
        <f t="shared" si="3"/>
        <v>3606.2445840513924</v>
      </c>
      <c r="C59" s="13">
        <f t="shared" si="1"/>
        <v>420.01958405139158</v>
      </c>
    </row>
    <row r="60" spans="1:4" ht="14.4" x14ac:dyDescent="0.3">
      <c r="A60" s="13">
        <v>26</v>
      </c>
      <c r="B60" s="14">
        <f t="shared" si="3"/>
        <v>3676.9552621700473</v>
      </c>
      <c r="C60" s="13">
        <f t="shared" si="1"/>
        <v>364.55526217004672</v>
      </c>
    </row>
    <row r="61" spans="1:4" ht="14.4" x14ac:dyDescent="0.3">
      <c r="A61" s="13">
        <v>26.5</v>
      </c>
      <c r="B61" s="14">
        <f t="shared" si="3"/>
        <v>3747.6659402887021</v>
      </c>
      <c r="C61" s="13">
        <f t="shared" si="1"/>
        <v>306.64094028870159</v>
      </c>
    </row>
    <row r="62" spans="1:4" ht="14.4" x14ac:dyDescent="0.3">
      <c r="A62" s="13">
        <v>27</v>
      </c>
      <c r="B62" s="14">
        <f t="shared" si="3"/>
        <v>3818.376618407357</v>
      </c>
      <c r="C62" s="13">
        <f t="shared" si="1"/>
        <v>246.27661840735573</v>
      </c>
    </row>
    <row r="63" spans="1:4" ht="14.4" x14ac:dyDescent="0.3">
      <c r="A63" s="13">
        <v>27.5</v>
      </c>
      <c r="B63" s="14">
        <f t="shared" si="3"/>
        <v>3889.0872965260119</v>
      </c>
      <c r="C63" s="13">
        <f t="shared" si="1"/>
        <v>183.4622965260105</v>
      </c>
    </row>
    <row r="64" spans="1:4" ht="14.4" x14ac:dyDescent="0.3">
      <c r="A64" s="13">
        <v>28</v>
      </c>
      <c r="B64" s="14">
        <f t="shared" si="3"/>
        <v>3959.7979746446663</v>
      </c>
      <c r="C64" s="13">
        <f t="shared" si="1"/>
        <v>118.19797464466546</v>
      </c>
    </row>
    <row r="65" spans="1:3" ht="14.4" x14ac:dyDescent="0.3">
      <c r="A65" s="13">
        <v>28.5</v>
      </c>
      <c r="B65" s="14">
        <f t="shared" si="3"/>
        <v>4030.5086527633212</v>
      </c>
      <c r="C65" s="13">
        <f t="shared" si="1"/>
        <v>50.483652763320606</v>
      </c>
    </row>
    <row r="66" spans="1:3" ht="14.4" x14ac:dyDescent="0.3">
      <c r="A66" s="13">
        <v>29</v>
      </c>
      <c r="B66" s="14">
        <f t="shared" si="3"/>
        <v>4101.219330881976</v>
      </c>
      <c r="C66" s="13">
        <f t="shared" si="1"/>
        <v>-19.680669118025435</v>
      </c>
    </row>
    <row r="67" spans="1:3" ht="14.4" x14ac:dyDescent="0.3">
      <c r="A67" s="13">
        <v>29.5</v>
      </c>
      <c r="B67" s="14">
        <f t="shared" si="3"/>
        <v>4171.9300090006309</v>
      </c>
      <c r="C67" s="13">
        <f t="shared" si="1"/>
        <v>-92.294990999370384</v>
      </c>
    </row>
    <row r="68" spans="1:3" ht="14.4" x14ac:dyDescent="0.3">
      <c r="A68" s="13">
        <v>30</v>
      </c>
      <c r="B68" s="14">
        <f t="shared" si="3"/>
        <v>4242.6406871192858</v>
      </c>
      <c r="C68" s="13">
        <f t="shared" si="1"/>
        <v>-167.35931288071515</v>
      </c>
    </row>
    <row r="69" spans="1:3" ht="14.4" x14ac:dyDescent="0.3">
      <c r="A69" s="13">
        <v>30.5</v>
      </c>
      <c r="B69" s="14">
        <f t="shared" si="3"/>
        <v>4313.3513652379406</v>
      </c>
      <c r="C69" s="13">
        <f t="shared" si="1"/>
        <v>-244.87363476206065</v>
      </c>
    </row>
    <row r="70" spans="1:3" ht="14.4" x14ac:dyDescent="0.3">
      <c r="A70" s="13">
        <v>31</v>
      </c>
      <c r="B70" s="14">
        <f t="shared" si="3"/>
        <v>4384.0620433565946</v>
      </c>
      <c r="C70" s="13">
        <f t="shared" si="1"/>
        <v>-324.83795664340596</v>
      </c>
    </row>
    <row r="71" spans="1:3" ht="14.4" x14ac:dyDescent="0.3">
      <c r="A71" s="13">
        <v>31.5</v>
      </c>
      <c r="B71" s="14">
        <f t="shared" si="3"/>
        <v>4454.7727214752495</v>
      </c>
      <c r="C71" s="13">
        <f t="shared" si="1"/>
        <v>-407.25227852475109</v>
      </c>
    </row>
    <row r="72" spans="1:3" ht="14.4" x14ac:dyDescent="0.3">
      <c r="A72" s="13">
        <v>32</v>
      </c>
      <c r="B72" s="14">
        <f t="shared" si="3"/>
        <v>4525.4833995939043</v>
      </c>
      <c r="C72" s="13">
        <f t="shared" si="1"/>
        <v>-492.11660040609695</v>
      </c>
    </row>
    <row r="73" spans="1:3" ht="14.4" x14ac:dyDescent="0.3">
      <c r="A73" s="13">
        <v>32.5</v>
      </c>
      <c r="B73" s="14">
        <f t="shared" si="3"/>
        <v>4596.1940777125592</v>
      </c>
      <c r="C73" s="13">
        <f t="shared" si="1"/>
        <v>-579.43092228744172</v>
      </c>
    </row>
    <row r="74" spans="1:3" ht="14.4" x14ac:dyDescent="0.3">
      <c r="A74" s="13">
        <v>33</v>
      </c>
      <c r="B74" s="14">
        <f t="shared" si="3"/>
        <v>4666.9047558312141</v>
      </c>
      <c r="C74" s="13">
        <f t="shared" si="1"/>
        <v>-669.19524416878721</v>
      </c>
    </row>
    <row r="75" spans="1:3" ht="14.4" x14ac:dyDescent="0.3">
      <c r="A75" s="13">
        <v>33.5</v>
      </c>
      <c r="B75" s="14">
        <f t="shared" si="3"/>
        <v>4737.6154339498689</v>
      </c>
      <c r="C75" s="13">
        <f t="shared" si="1"/>
        <v>-761.40956605013253</v>
      </c>
    </row>
    <row r="76" spans="1:3" ht="14.4" x14ac:dyDescent="0.3">
      <c r="A76" s="13">
        <v>34</v>
      </c>
      <c r="B76" s="14">
        <f t="shared" si="3"/>
        <v>4808.3261120685238</v>
      </c>
      <c r="C76" s="13">
        <f t="shared" si="1"/>
        <v>-856.07388793147766</v>
      </c>
    </row>
    <row r="77" spans="1:3" ht="14.4" x14ac:dyDescent="0.3">
      <c r="A77" s="13">
        <v>34.5</v>
      </c>
      <c r="B77" s="14">
        <f t="shared" si="3"/>
        <v>4879.0367901871787</v>
      </c>
      <c r="C77" s="13">
        <f t="shared" si="1"/>
        <v>-953.18820981282261</v>
      </c>
    </row>
    <row r="78" spans="1:3" ht="14.4" x14ac:dyDescent="0.3">
      <c r="A78" s="17">
        <v>35</v>
      </c>
      <c r="B78" s="18">
        <f t="shared" si="3"/>
        <v>4949.7474683058326</v>
      </c>
      <c r="C78" s="17">
        <f t="shared" si="1"/>
        <v>-1052.7525316941674</v>
      </c>
    </row>
    <row r="79" spans="1:3" ht="14.4" x14ac:dyDescent="0.3">
      <c r="A79" s="13">
        <v>35.5</v>
      </c>
      <c r="B79" s="14">
        <f t="shared" si="3"/>
        <v>5020.4581464244875</v>
      </c>
      <c r="C79" s="13">
        <f t="shared" si="1"/>
        <v>-1154.7668535755138</v>
      </c>
    </row>
    <row r="80" spans="1:3" ht="14.4" x14ac:dyDescent="0.3">
      <c r="A80" s="13">
        <v>36</v>
      </c>
      <c r="B80" s="14">
        <f t="shared" si="3"/>
        <v>5091.1688245431424</v>
      </c>
      <c r="C80" s="13">
        <f t="shared" si="1"/>
        <v>-1259.2311754568591</v>
      </c>
    </row>
    <row r="81" spans="1:3" ht="14.4" x14ac:dyDescent="0.3">
      <c r="A81" s="13">
        <v>36.5</v>
      </c>
      <c r="B81" s="14">
        <f t="shared" si="3"/>
        <v>5161.8795026617972</v>
      </c>
      <c r="C81" s="13">
        <f t="shared" ref="C81" si="4">$B$1*A81*SIN(RADIANS($B$2))-(($B$4*A81^2)/2)</f>
        <v>-1366.1454973382042</v>
      </c>
    </row>
    <row r="82" spans="1:3" ht="14.4" x14ac:dyDescent="0.3">
      <c r="A82" s="13"/>
      <c r="B82" s="14"/>
      <c r="C82" s="13"/>
    </row>
    <row r="83" spans="1:3" ht="14.4" x14ac:dyDescent="0.3">
      <c r="A83" s="13"/>
      <c r="B83" s="14"/>
      <c r="C83" s="13"/>
    </row>
    <row r="84" spans="1:3" ht="14.4" x14ac:dyDescent="0.3">
      <c r="A84" s="13"/>
      <c r="B84" s="14"/>
      <c r="C84" s="13"/>
    </row>
    <row r="85" spans="1:3" ht="14.4" x14ac:dyDescent="0.3">
      <c r="A85" s="13"/>
      <c r="B85" s="14"/>
      <c r="C85" s="13"/>
    </row>
    <row r="86" spans="1:3" ht="14.4" x14ac:dyDescent="0.3">
      <c r="A86" s="13"/>
      <c r="B86" s="14"/>
      <c r="C86" s="13"/>
    </row>
    <row r="87" spans="1:3" ht="14.4" x14ac:dyDescent="0.3">
      <c r="A87" s="13"/>
      <c r="B87" s="14"/>
      <c r="C87" s="13"/>
    </row>
    <row r="88" spans="1:3" ht="14.4" x14ac:dyDescent="0.3">
      <c r="A88" s="13"/>
      <c r="B88" s="14"/>
      <c r="C88" s="13"/>
    </row>
    <row r="89" spans="1:3" ht="14.4" x14ac:dyDescent="0.3">
      <c r="A89" s="13"/>
      <c r="B89" s="14"/>
      <c r="C89" s="13"/>
    </row>
    <row r="90" spans="1:3" ht="14.4" x14ac:dyDescent="0.3">
      <c r="A90" s="13"/>
      <c r="B90" s="14"/>
      <c r="C90" s="13"/>
    </row>
    <row r="91" spans="1:3" ht="14.4" x14ac:dyDescent="0.3">
      <c r="A91" s="13"/>
      <c r="B91" s="14"/>
      <c r="C91" s="13"/>
    </row>
    <row r="92" spans="1:3" ht="14.4" x14ac:dyDescent="0.3">
      <c r="A92" s="13"/>
      <c r="B92" s="14"/>
      <c r="C92" s="13"/>
    </row>
    <row r="93" spans="1:3" ht="14.4" x14ac:dyDescent="0.3">
      <c r="A93" s="13"/>
      <c r="B93" s="14"/>
      <c r="C93" s="13"/>
    </row>
    <row r="94" spans="1:3" ht="14.4" x14ac:dyDescent="0.3">
      <c r="A94" s="13"/>
      <c r="B94" s="14"/>
      <c r="C94" s="13"/>
    </row>
    <row r="95" spans="1:3" ht="14.4" x14ac:dyDescent="0.3">
      <c r="A95" s="13"/>
    </row>
    <row r="96" spans="1:3" ht="14.4" x14ac:dyDescent="0.3">
      <c r="A96" s="13"/>
    </row>
    <row r="97" spans="1:1" ht="15.75" customHeight="1" x14ac:dyDescent="0.25">
      <c r="A97" s="15"/>
    </row>
    <row r="98" spans="1:1" ht="15.75" customHeight="1" x14ac:dyDescent="0.25">
      <c r="A98" s="15"/>
    </row>
    <row r="99" spans="1:1" ht="15.75" customHeight="1" x14ac:dyDescent="0.25">
      <c r="A99" s="15"/>
    </row>
    <row r="100" spans="1:1" ht="15.75" customHeight="1" x14ac:dyDescent="0.25">
      <c r="A100" s="15"/>
    </row>
    <row r="101" spans="1:1" ht="15.75" customHeight="1" x14ac:dyDescent="0.25">
      <c r="A101" s="15"/>
    </row>
    <row r="102" spans="1:1" ht="15.75" customHeight="1" x14ac:dyDescent="0.25">
      <c r="A102" s="15"/>
    </row>
    <row r="103" spans="1:1" ht="15.75" customHeight="1" x14ac:dyDescent="0.25">
      <c r="A103" s="15"/>
    </row>
    <row r="104" spans="1:1" ht="15.75" customHeight="1" x14ac:dyDescent="0.25">
      <c r="A104" s="15"/>
    </row>
    <row r="105" spans="1:1" ht="15.75" customHeight="1" x14ac:dyDescent="0.25">
      <c r="A105" s="15"/>
    </row>
    <row r="106" spans="1:1" ht="15.75" customHeight="1" x14ac:dyDescent="0.25">
      <c r="A106" s="15"/>
    </row>
    <row r="107" spans="1:1" ht="15.75" customHeight="1" x14ac:dyDescent="0.25">
      <c r="A107" s="15"/>
    </row>
    <row r="108" spans="1:1" ht="15.75" customHeight="1" x14ac:dyDescent="0.25">
      <c r="A108" s="15"/>
    </row>
    <row r="109" spans="1:1" ht="15.75" customHeight="1" x14ac:dyDescent="0.25">
      <c r="A109" s="15"/>
    </row>
    <row r="110" spans="1:1" ht="15.75" customHeight="1" x14ac:dyDescent="0.25">
      <c r="A110" s="15"/>
    </row>
    <row r="111" spans="1:1" ht="15.75" customHeight="1" x14ac:dyDescent="0.25">
      <c r="A111" s="15"/>
    </row>
    <row r="112" spans="1:1" ht="15.75" customHeight="1" x14ac:dyDescent="0.25">
      <c r="A112" s="15"/>
    </row>
    <row r="113" spans="1:1" ht="15.75" customHeight="1" x14ac:dyDescent="0.25">
      <c r="A113" s="15"/>
    </row>
    <row r="114" spans="1:1" ht="15.75" customHeight="1" x14ac:dyDescent="0.25">
      <c r="A114" s="15"/>
    </row>
    <row r="115" spans="1:1" ht="15.75" customHeight="1" x14ac:dyDescent="0.25">
      <c r="A115" s="15"/>
    </row>
    <row r="116" spans="1:1" ht="15.75" customHeight="1" x14ac:dyDescent="0.25">
      <c r="A116" s="15"/>
    </row>
    <row r="117" spans="1:1" ht="15.75" customHeight="1" x14ac:dyDescent="0.25">
      <c r="A117" s="15"/>
    </row>
    <row r="118" spans="1:1" ht="15.75" customHeight="1" x14ac:dyDescent="0.25">
      <c r="A118" s="15"/>
    </row>
    <row r="119" spans="1:1" ht="15.75" customHeight="1" x14ac:dyDescent="0.25">
      <c r="A119" s="15"/>
    </row>
    <row r="120" spans="1:1" ht="15.75" customHeight="1" x14ac:dyDescent="0.25">
      <c r="A120" s="15"/>
    </row>
    <row r="121" spans="1:1" ht="15.75" customHeight="1" x14ac:dyDescent="0.25">
      <c r="A121" s="15"/>
    </row>
    <row r="122" spans="1:1" ht="15.75" customHeight="1" x14ac:dyDescent="0.25">
      <c r="A122" s="15"/>
    </row>
    <row r="123" spans="1:1" ht="15.75" customHeight="1" x14ac:dyDescent="0.25">
      <c r="A123" s="15"/>
    </row>
    <row r="124" spans="1:1" ht="15.75" customHeight="1" x14ac:dyDescent="0.25">
      <c r="A124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psm</cp:lastModifiedBy>
  <dcterms:modified xsi:type="dcterms:W3CDTF">2022-10-25T23:07:14Z</dcterms:modified>
</cp:coreProperties>
</file>